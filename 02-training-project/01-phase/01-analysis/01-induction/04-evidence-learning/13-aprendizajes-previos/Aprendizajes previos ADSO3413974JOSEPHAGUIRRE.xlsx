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ronyp\Downloads\"/>
    </mc:Choice>
  </mc:AlternateContent>
  <xr:revisionPtr revIDLastSave="0" documentId="8_{761CBD7C-FECC-4FDC-B3E1-6CBDCB85ABD7}" xr6:coauthVersionLast="47" xr6:coauthVersionMax="47" xr10:uidLastSave="{00000000-0000-0000-0000-000000000000}"/>
  <bookViews>
    <workbookView xWindow="-132" yWindow="-132" windowWidth="23304" windowHeight="12504" xr2:uid="{7E14B975-5904-9B46-9A5B-B23134116205}"/>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11" i="1"/>
</calcChain>
</file>

<file path=xl/sharedStrings.xml><?xml version="1.0" encoding="utf-8"?>
<sst xmlns="http://schemas.openxmlformats.org/spreadsheetml/2006/main" count="261" uniqueCount="187">
  <si>
    <t>36180 - Enrique Low Murtra-Interactuar en el contexto productivo y social de acuerdo con principios  éticos para la construcción de una cultura de paz.</t>
  </si>
  <si>
    <t>593147 - 02  ESTABLECER RELACIONES DE CRECIMIENTO PERSONAL Y COMUNITARIO A PARTIR DEL BIEN COMÚN COMO APORTE PARA EL DESARROLLO SOCIAL.</t>
  </si>
  <si>
    <t>593148 - 03  PROMOVER EL USO RACIONAL DE LOS RECURSOS NATURALES A PARTIR DE CRITERIOS DE SOSTENIBILIDAD Y SUSTENTABILIDAD ÉTICA Y NORMATIVA VIGENTE.</t>
  </si>
  <si>
    <t>593149 - 01  PROMOVER MI DIGNIDAD Y LA DEL OTRO A PARTIR DE LOS PRINCIPIOS Y VALORES ÉTICOS COMO APORTE EN LA INSTAURACIÓN DE UNA CULTURA DE PAZ.</t>
  </si>
  <si>
    <t>593150 - 04  CONTRIBUIR CON EL FORTALECIMIENTO DE LA CULTURA DE PAZ A PARTIR DE LA DIGNIDAD HUMANA Y LAS ESTRATEGIAS PARA LA TRANSFORMACIÓN DE CONFLICTOS.</t>
  </si>
  <si>
    <t>37371 - Utilizar herramientas informáticas de acuerdo con las necesidades de manejo de información</t>
  </si>
  <si>
    <t>593151 - 02  APLICAR FUNCIONALIDADES DE HERRAMIENTAS Y SERVICIOS TIC, DE ACUERDO CON MANUALES DE USO, PROCEDIMIENTOS ESTABLECIDOS Y BUENAS PRÁCTICAS.</t>
  </si>
  <si>
    <t>593152 - 04  OPTIMIZAR LOS RESULTADOS, DE ACUERDO CON LA VERIFICACIÓN.</t>
  </si>
  <si>
    <t>593153 - 03  EVALUAR LOS RESULTADOS, DE ACUERDO CON LOS REQUERIMIENTOS.</t>
  </si>
  <si>
    <t>593154 - 01  ALISTAR HERRAMIENTAS DE TECNOLOGÍAS DE LA INFORMACIÓN Y LA COMUNICACIÓN (TIC), DE ACUERDO CON LAS NECESIDADES DE PROCESAMIENTO DE INFORMACIÓN Y COMUNICACIÓN.</t>
  </si>
  <si>
    <t>37714 - INTERACTUAR EN LENGUA INGLESA DE FORMA ORAL Y ESCRITA DENTRO DE CONTEXTOS SOCIALES Y LABORALES SEGÚN LOS CRITERIOS ESTABLECIDOS POR EL MARCO COMÚN EUROPEO DE REFERENCIA PARA LAS LENGUAS.</t>
  </si>
  <si>
    <t>593113 - 06  EXPLICAR LAS FUNCIONES DE SU OCUPACIÓN LABORAL USANDO EXPRESIONES DE ACUERDO AL NIVEL REQUERIDO POR EL PROGRAMA DE FORMACIÓN.</t>
  </si>
  <si>
    <t>593114 - 04  IMPLEMENTAR ACCIONES DE MEJORA RELACIONADAS CON EL USO DE EXPRESIONES, ESTRUCTURAS Y DESEMPEÑO SEGÚN LOS RESULTADOS DE APRENDIZAJE FORMULADOS PARA EL PROGRAMA.</t>
  </si>
  <si>
    <t>593115 - 02  INTERCAMBIAR OPINIONES SOBRE SITUACIONES COTIDIANAS Y LABORALES ACTUALES, PASADAS Y FUTURAS EN CONTEXTOS SOCIALES ORALES Y ESCRITOS.</t>
  </si>
  <si>
    <t>593116 - 05  PRESENTAR UN PROCESO PARA LA REALIZACIÓN DE UNA ACTIVIDAD EN SU QUEHACER LABORAL DE ACUERDO CON LOS PROCEDIMIENTOS ESTABLECIDOS DESDE SU PROGRAMA DE FORMACIÓN.</t>
  </si>
  <si>
    <t>593117 - 01  COMPRENDER INFORMACIÓN SOBRE SITUACIONES COTIDIANAS Y LABORALES ACTUALES Y FUTURAS A TRAVÉS DE INTERACCIONES SOCIALES DE FORMA ORAL Y ESCRITA.</t>
  </si>
  <si>
    <t>593118 - 03  DISCUTIR SOBRE POSIBLES SOLUCIONES A PROBLEMAS DENTRO DE UN RANGO VARIADO DE CONTEXTOS SOCIALES Y LABORALES.</t>
  </si>
  <si>
    <t>37799 - APLICAR PRÁCTICAS  DE PROTECCIÓN AMBIENTAL, SEGURIDAD Y SALUD EN EL TRABAJO DE ACUERDO CON LAS POLÍTICAS ORGANIZACIONALES  Y LA NORMATIVIDAD VIGENTE.</t>
  </si>
  <si>
    <t>593155 - 04  PROPONER ACCIONES DE MEJORA PARA EL MANEJO AMBIENTAL Y EL CONTROL DE LA SST, DE ACUERDO CON ESTRATEGIAS DE TRABAJO, COLABORATIVO, COOPERATIVO Y COORDINADO EN EL CONTEXTO PRODUCTIVO Y SOCIAL.</t>
  </si>
  <si>
    <t>593156 - 01  ANALIZAR LAS ESTRATEGIAS PARA LA PREVENCIÓN Y CONTROL DE LOS IMPACTOS AMBIENTALES Y DE LOS ACCIDENTES Y ENFERMEDADES LABORALES (ATEL) DE ACUERDO CON LAS POLÍTICAS ORGANIZACIONALES Y EL ENTORNO SOCIAL.</t>
  </si>
  <si>
    <t>593157 - 03  REALIZAR SEGUIMIENTO Y ACOMPAÑAMIENTO AL DESARROLLO DE LOS PLANES Y PROGRAMAS AMBIENTALES Y SST, SEGÚN EL  ÁREA DE DESEMPEÑO.</t>
  </si>
  <si>
    <t>593158 - 02  IMPLEMENTAR ESTRATEGIAS PARA EL CONTROL DE LOS IMPACTOS AMBIENTALES Y DE LOS ACCIDENTES Y ENFERMEDADES   DE ACUERDO  CON LOS PLANES Y PROGRAMAS  ESTABLECIDOS POR LA ORGANIZACIÓN.</t>
  </si>
  <si>
    <t>37800 - GENERAR HÁBITOS SALUDABLES DE VIDA MEDIANTE LA APLICACIÓN DE PROGRAMAS DE ACTIVIDAD FÍSICA EN LOS CONTEXTOS PRODUCTIVOS Y SOCIALES.</t>
  </si>
  <si>
    <t>593119 - 02  PRACTICAR HÁBITOS SALUDABLES MEDIANTE LA APLICACIÓN DE  FUNDAMENTOS DE NUTRICIÓN E HIGIENE.</t>
  </si>
  <si>
    <t>593120 - 01  DESARROLLAR HABILIDADES PSICOMOTRICES EN EL CONTEXTO PRODUCTIVO Y SOCIAL.</t>
  </si>
  <si>
    <t>593121 - 03  EJECUTAR ACTIVIDADES DE ACONDICIONAMIENTO FÍSICO ORIENTADAS HACIA EL MEJORAMIENTO DE LA CONDICIÓN FÍSICA EN LOS CONTEXTOS PRODUCTIVO Y SOCIAL.</t>
  </si>
  <si>
    <t>593122 - 04  IMPLEMENTAR UN PLAN DE ERGONOMÍA Y PAUSAS ACTIVAS SEGÚN LAS CARACTERÍSTICAS DE LA FUNCIÓN PRODUCTIVA.</t>
  </si>
  <si>
    <t>37801 - APLICACIÓN DE CONOCIMIENTOS DE LAS CIENCIAS NATURALES DE ACUERDO CON SITUACIONES DEL CONTEXTO PRODUCTIVO Y SOCIAL.</t>
  </si>
  <si>
    <t>593159 - 02  SOLUCIONAR PROBLEMAS ASOCIADOS CON EL SECTOR PRODUCTIVO CON BASE EN LOS PRINCIPIOS Y LEYES DE LA FÍSICA.</t>
  </si>
  <si>
    <t>593160 - 04  PROPONER ACCIONES DE MEJORA EN LOS PROCESOS PRODUCTIVOS DE ACUERDO CON LOS PRINCIPIOS Y LEYES DE LA FÍSICA.</t>
  </si>
  <si>
    <t>593161 - 03  VERIFICAR LAS TRANSFORMACIONES FÍSICAS DE LA MATERIA UTILIZANDO HERRAMIENTAS TECNOLÓGICAS.</t>
  </si>
  <si>
    <t>593162 - 01  IDENTIFICAR LOS PRINCIPIOS Y LEYES DE LA FÍSICA EN LA SOLUCIÓN DE PROBLEMAS DE ACUERDO AL CONTEXTO PRODUCTIVO.</t>
  </si>
  <si>
    <t>37802 - DESARROLLAR PROCESOS DE COMUNICACIÓN EFICACES Y EFECTIVOS, TENIENDO EN CUENTA SITUACIONES  DE ORDEN SOCIAL, PERSONAL Y PRODUCTIVO.</t>
  </si>
  <si>
    <t>593224 - 03  RELACIONAR LOS PROCESOS COMUNICATIVOS TENIENDO EN CUENTA CRITERIOS DE LÓGICA Y RACIONALIDAD.</t>
  </si>
  <si>
    <t>593225 - 01  ANALIZAR LOS COMPONENTES DE LA COMUNICACIÓN SEGÚN SUS CARACTERÍSTICAS, INTENCIONALIDAD Y CONTEXTO.</t>
  </si>
  <si>
    <t>593226 - 04  ESTABLECER PROCESOS DE ENRIQUECIMIENTO LEXICAL Y ACCIONES DE MEJORAMIENTO EN EL DESARROLLO DE PROCESOS COMUNICATIVOS SEGÚN REQUERIMIENTOS DEL CONTEXTO.</t>
  </si>
  <si>
    <t>593227 - 02  ARGUMENTAR EN FORMA ORAL Y ESCRITA ATENDIENDO LAS EXIGENCIAS Y PARTICULARIDADES DE LAS DIVERSAS SITUACIONES COMUNICATIVAS MEDIANTE LOS DISTINTOS SISTEMAS DE REPRESENTACIÓN.</t>
  </si>
  <si>
    <t>38199 - Orientar investigación formativa según referentes técnicos</t>
  </si>
  <si>
    <t>593235 - 04  PROPONER SOLUCIONES A LAS NECESIDADES DEL CONTEXTO SEGÚN RESULTADOS DE LA INVESTIGACIÓN.</t>
  </si>
  <si>
    <t>593236 - 01  ANALIZAR EL CONTEXTO PRODUCTIVO SEGÚN SUS CARACTERÍSTICAS Y NECESIDADES.</t>
  </si>
  <si>
    <t>593237 - 03  ARGUMENTAR ASPECTOS TEÓRICOS DEL PROYECTO SEGÚN REFERENTES NACIONALES E INTERNACIONALES.</t>
  </si>
  <si>
    <t>593238 - 02  ESTRUCTURAR EL PROYECTO DE ACUERDO A CRITERIOS DE LA INVESTIGACIÓN.</t>
  </si>
  <si>
    <t>38356 - Implementar la solución de software de acuerdo con los requisitos de operación y modelos de referencia</t>
  </si>
  <si>
    <t>593109 - 03  DOCUMENTAR EL PROCESO DE IMPLANTACIÓN DE SOFTWARE SIGUIENDO ESTÁNDARES DE CALIDAD.</t>
  </si>
  <si>
    <t>593110 - 02  DESPLEGAR EL SOFTWARE DE ACUERDO CON LA ARQUITECTURA Y LAS POLÍTICAS ESTABLECIDAS.</t>
  </si>
  <si>
    <t>593111 - 01  PLANEAR ACTIVIDADES DE IMPLANTACIÓN DEL SOFTWARE DE ACUERDO CON LAS CONDICIONES DEL SISTEMA.</t>
  </si>
  <si>
    <t>593112 - 04  IMPLANTAR EL SOFTWARE DE ACUERDO CON LOS NIVELES DE SERVICIO ESTABLECIDOS CON EL CLIENTE.</t>
  </si>
  <si>
    <t>38362 - Diseñar la solución de software de acuerdo con procedimientos y requisitos técnicos</t>
  </si>
  <si>
    <t>593100 - 03  DETERMINAR LAS CARACTERÍSTICAS TÉCNICAS DE LA INTERFAZ GRÁFICA DEL SOFTWARE ADOPTANDO ESTÁNDARES.</t>
  </si>
  <si>
    <t>593101 - 02  ESTRUCTURAR EL MODELO DE DATOS DEL SOFTWARE DE ACUERDO CON LAS ESPECIFICACIONES DEL ANÁLISIS.</t>
  </si>
  <si>
    <t>593102 - 04  VERIFICAR LOS ENTREGABLES DE LA FASE DE DISEÑO DEL SOFTWARE DE ACUERDO CON LO ESTABLECIDO EN EL INFORME DE ANÁLISIS.</t>
  </si>
  <si>
    <t>593103 - 01  ELABORAR LOS ARTEFACTOS DE DISEÑO DEL SOFTWARE SIGUIENDO LAS PRÁCTICAS DE LA METODOLOGÍA SELECCIONADA.</t>
  </si>
  <si>
    <t>38367 - Estructurar propuesta técnica de servicio de tecnología de la información según requisitos técnicos y normativa</t>
  </si>
  <si>
    <t>593060 - 01  DEFINIR ESPECIFICACIONES TÉCNICAS DEL SOFTWARE DE ACUERDO CON LAS CARACTERÍSTICAS DEL SOFTWARE A CONSTRUIR.</t>
  </si>
  <si>
    <t>593061 - 03  VALIDAR LAS CONDICIONES DE LA PROPUESTA TÉCNICA DEL SOFTWARE DE ACUERDO CON LOS INTERESES DE LAS PARTES.</t>
  </si>
  <si>
    <t>593062 - 02  ELABORAR PROPUESTA TÉCNICA DEL SOFTWARE DE ACUERDO CON LAS ESPECIFICACIONES TÉCNICAS DEFINIDAS.</t>
  </si>
  <si>
    <t>38368 - DESARROLLAR LA SOLUCIÓN DE SOFTWARE DE ACUERDO CON EL DISEÑO Y METODOLOGÍAS DE DESARROLLO</t>
  </si>
  <si>
    <t>593104 - 03  CREAR COMPONENTES FRONT-END DEL SOFTWARE DE ACUERDO CON EL DISEÑO.</t>
  </si>
  <si>
    <t>593105 - 05  REALIZAR PRUEBAS AL SOFTWARE PARA VERIFICAR SU FUNCIONALIDAD.</t>
  </si>
  <si>
    <t>593106 - 01  PLANEAR ACTIVIDADES DE CONSTRUCCIÓN DEL SOFTWARE DE ACUERDO CON EL DISEÑO ESTABLECIDO.</t>
  </si>
  <si>
    <t>593107 - 02  CONSTRUIR LA BASE DE DATOS PARA EL SOFTWARE A PARTIR DEL MODELO DE DATOS.</t>
  </si>
  <si>
    <t>593108 - 04  CODIFICAR EL SOFTWARE DE ACUERDO CON EL DISEÑO ESTABLECIDO.</t>
  </si>
  <si>
    <t>38369 - Controlar la calidad del servicio de software de acuerdo con los estándares técnicos</t>
  </si>
  <si>
    <t>593144 - 02  VERIFICAR LA CALIDAD DEL SOFTWARE DE ACUERDO CON LAS PRÁCTICAS ASOCIADAS EN LOS PROCESOS DE DESARROLLO.</t>
  </si>
  <si>
    <t>593145 - 03  REALIZAR ACTIVIDADES DE MEJORA DE LA CALIDAD DEL SOFTWARE A PARTIR DE LOS RESULTADOS DE LA VERIFICACIÓN.</t>
  </si>
  <si>
    <t>593146 - 01  INCORPORAR ACTIVIDADES DE ASEGURAMIENTO DE LA CALIDAD DEL SOFTWARE DE ACUERDO CON ESTÁNDARES DE LA INDUSTRIA.</t>
  </si>
  <si>
    <t>38376 - Evaluar requisitos de la solución de software de acuerdo con metodologías de análisis y estándares</t>
  </si>
  <si>
    <t>592373 - 02  MODELAR LAS FUNCIONES DEL SOFTWARE DE ACUERDO CON EL INFORME DE REQUISITOS.</t>
  </si>
  <si>
    <t>592374 - 04  VERIFICAR LOS MODELOS REALIZADOS EN LA FASE DE ANÁLISIS DE ACUERDO CON LO ESTABLECIDO EN EL INFORME DE REQUISITOS.</t>
  </si>
  <si>
    <t>592375 - 01 PLANEAR ACTIVIDADES DE ANÁLISIS DE ACUERDO CON LA METODOLOGÍA SELECCIONADA.</t>
  </si>
  <si>
    <t>592376 - 03  DESARROLLAR PROCESOS LÓGICOS A TRAVÉS DE LA IMPLEMENTACIÓN DE ALGORITMOS.</t>
  </si>
  <si>
    <t>38392 - Establecer requisitos de la solución de software de acuerdo con estándares y procedimiento técnico</t>
  </si>
  <si>
    <t>593344 - 02  RECOLECTAR INFORMACIÓN DEL SOFTWARE A CONSTRUIR DE ACUERDO CON LAS NECESIDADES DEL CLIENTE.</t>
  </si>
  <si>
    <t>593345 - 04  VALIDAR EL INFORME DE REQUISITOS DE ACUERDO CON LAS NECESIDADES DEL CLIENTE.</t>
  </si>
  <si>
    <t>593346 - 01  CARACTERIZAR LOS PROCESOS DE LA ORGANIZACIÓN DE ACUERDO CON EL SOFTWARE A CONSTRUIR.</t>
  </si>
  <si>
    <t>593347 - 03  ESTABLECER LOS REQUISITOS DEL SOFTWARE DE ACUERDO CON LA INFORMACIÓN RECOLECTADA.</t>
  </si>
  <si>
    <t>38558 - Ejercer derechos fundamentales del trabajo en el marco de la constitución política y los convenios internacionales.</t>
  </si>
  <si>
    <t xml:space="preserve">593243 - 01- Reconocer el trabajo como factor de movilidad social y transformación vital con referencia a la fenomenología y a los derechos fundamentales en el trabajo. </t>
  </si>
  <si>
    <t xml:space="preserve">593244 - 03- Practicar los derechos fundamentales en el trabajo de acuerdo con la Constitución Política y los Convenios Internacionales. </t>
  </si>
  <si>
    <t xml:space="preserve">593245 - 02- Valorar la importancia de la ciudadanía laboral con base en el estudio de los derechos humanos y fundamentales en el trabajo. </t>
  </si>
  <si>
    <t xml:space="preserve">593246 - 04- Participar en acciones solidarias teniendo en cuenta el ejercicio de los derechos humanos, de los pueblos y de la naturaleza. </t>
  </si>
  <si>
    <t>38560 - Razonar cuantitativamente frente a situaciones susceptibles de ser abordadas de manera matemática en contextos laborales, sociales y personales.</t>
  </si>
  <si>
    <t>593255 - 03  RESOLVER PROBLEMAS MATEMÁTICOS A PARTIR DE SITUACIONES GENERADAS EN EL CONTEXTO SOCIAL Y PRODUCTIVO.</t>
  </si>
  <si>
    <t>593256 - 01  IDENTIFICAR MODELOS MATEMÁTICOS DE ACUERDO CON LOS REQUERIMIENTOS DEL PROBLEMA PLANTEADO  EN CONTEXTOS SOCIALES Y PRODUCTIVO.</t>
  </si>
  <si>
    <t>593257 - 04  PROPONER ACCIONES DE MEJORA FRENTE A LOS RESULTADOS DE LOS PROCEDIMIENTOS MATEMÁTICOS DE ACUERDO CON EL PROBLEMA PLANTEADO.</t>
  </si>
  <si>
    <t>593258 - 02  PLANTEAR PROBLEMAS MATEMÁTICOS A PARTIR DE SITUACIONES GENERADAS EN EL CONTEXTO SOCIAL Y PRODUCTIVO.</t>
  </si>
  <si>
    <t>38561 - Gestionar procesos propios de la cultura emprendedora y empresarial de acuerdo con el perfil personal y los requerimientos de los contextos productivo y social.</t>
  </si>
  <si>
    <t>593259 - 02  CARACTERIZAR LA IDEA DE NEGOCIO TENIENDO EN CUENTA LAS OPORTUNIDADES Y NECESIDADES DEL SECTOR PRODUCTIVO Y SOCIAL.</t>
  </si>
  <si>
    <t>593340 - 03  ESTRUCTURAR EL PLAN DE NEGOCIO DE ACUERDO CON LAS CARACTERÍSTICAS EMPRESARIALES Y TENDENCIAS DE MERCADO.</t>
  </si>
  <si>
    <t>593341 - 04  VALORAR LA PROPUESTA DE NEGOCIO CONFORME CON SU ESTRUCTURA Y NECESIDADES DEL SECTOR PRODUCTIVO Y SOCIAL.</t>
  </si>
  <si>
    <t>593342 - 01  INTEGRAR ELEMENTOS DE LA CULTURA EMPRENDEDORA TENIENDO EN CUENTA EL PERFIL PERSONAL Y EL CONTEXTO DE DESARROLLO SOCIAL.</t>
  </si>
  <si>
    <t>Ficha de Caracterización:</t>
  </si>
  <si>
    <t>Aprendizajes previos</t>
  </si>
  <si>
    <t>Fecha:</t>
  </si>
  <si>
    <t>Aprendiz :</t>
  </si>
  <si>
    <t>Documento:</t>
  </si>
  <si>
    <t>Celular:</t>
  </si>
  <si>
    <t>Correo:</t>
  </si>
  <si>
    <t>No</t>
  </si>
  <si>
    <t>Competencia</t>
  </si>
  <si>
    <t>Resultado de aprendizaje</t>
  </si>
  <si>
    <t xml:space="preserve">Cumple </t>
  </si>
  <si>
    <t>Si</t>
  </si>
  <si>
    <t>Observaciones</t>
  </si>
  <si>
    <t>Codigo Ficha :</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</si>
  <si>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</si>
  <si>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</si>
  <si>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	Genera la documentación de la especificación de requisitos de acuerdo con normatividad y estándares relacionados.
•	Presenta el informe de requerimientos de acuerdo con estándares establecidos.</t>
  </si>
  <si>
    <t>•	Evalúa el informe de requisitos con el cliente según las necesidades establecidas.
•	Realiza cambios a la documentación de especificación de requisitos a partir de los hallazgos encontrados.</t>
  </si>
  <si>
    <t>Reconoce características de equipos TIC, tipos de software y servicios de internet, de acuerdo con la tecnología a utilizar.
 Elige herramientas TIC, de acuerdo con las necesidades de información y comunicación.</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</si>
  <si>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</si>
  <si>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Prueba el funcionamiento de los equipos, productos o servicios obtenidos con el uso de herramientas TIC, de acuerdo con los requerimientos realizados.</t>
  </si>
  <si>
    <t>Aplica buenas prácticas de uso de la tecnología TIC, de acuerdo con los estándares y recomendaciones.</t>
  </si>
  <si>
    <t xml:space="preserve"> Reconoce la  idea  general y detalles específicos en  textos  escritos de la vida cotidiana articulados con    claridad
 Comprende información concreta relativa  a  temas cotidianos y laborales en  textos orales y escritos  </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</si>
  <si>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</si>
  <si>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Interpreta cambios físicos de los cuerpos  de acuerdo con teorías, leyes y principios.</t>
  </si>
  <si>
    <t>Describe las manifestaciones de la energía según el contexto social y productivo. 
 Explica el comportamiento de fenómenos físicos según el contexto productivo.</t>
  </si>
  <si>
    <t xml:space="preserve"> Identifica los principios y leyes físicas acordes con el contexto productivo.</t>
  </si>
  <si>
    <t>Realiza experimentos para la interpretación de fenómenos de acuerdo con los principios y las leyes de la física. 
 Argumenta la incidencia de los principios y leyes de la física conforme con el contexto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</si>
  <si>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</si>
  <si>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 xml:space="preserve">1. Presenta solución a problemas mediante figuras geométricas 
2. Aplica procedimientos aritméticos y algebraicos según el problema planteado
3. Resuelve ecuaciones o sistemas de ecuaciones de acuerdo con principios matemáticos </t>
  </si>
  <si>
    <t>1. Calcula perímetros, áreas y volúmenes de acuerdo con los elementos de la figura geométrica
2. Realiza conversiones según las equivalencias entre sistemas de medida
3. Representa conjunto de datos de acuerdo con la variable estadística</t>
  </si>
  <si>
    <t>1. Selecciona las herramientas computacionales para la verificación de los resultados de acuerdo con los requerimientos matemáticos
2. Elabora una propuesta de solución alternativa a partir de los procedimientos matemáticos inicialmente planteados.</t>
  </si>
  <si>
    <t>•	Identifica metodologías de desarrollo de software de acuerdo con las características del software a desarrollar.
•	Establece las actividades de análisis de acuerdo con la metodología seleccionada.</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</si>
  <si>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</si>
  <si>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</si>
  <si>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 xml:space="preserve">Reconocer la importancia, naturaleza y características de la comunicación humana.                                          
Interpretar mensajes y reconstruir el discurso con sus propias palabras manteniendo el sentido.                                                                                                                                                                       </t>
  </si>
  <si>
    <t>Interpreta mensajes y reconstruye el discurso con sus propias palabras manteniendo el sentido.   
Aplica técnicas para la comunicación verbal y no verbal teniendo en cuenta características comunicativas</t>
  </si>
  <si>
    <t>Emplear estructuras textuales en la comunicación oral y escrita.  
Usa el léxico con precisión y propiedad en los procesos de comunicación relacionados con el área de desempeño laboral.   
Emplea en la elaboración de textos las estructuras textuales básicas</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</si>
  <si>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</si>
  <si>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</si>
  <si>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</si>
  <si>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 Elabora análisis comparativo de proveedores considerando costos, cantidad y especificaciones técnicas definidas.</t>
  </si>
  <si>
    <t>• Estima costos de software y hardware de acuerdo con las características del negocio.
• Documenta la propuesta técnica según las especificaciones de la solución de software.</t>
  </si>
  <si>
    <t>Define su proyecto de vida de acuerdo a los criterios de dignidad, de respeto, creencias, ecología y cultura</t>
  </si>
  <si>
    <t>Construye relaciones interpersonales a partir del enfoque diferencial y la promoción de una cultura de paz.                                                                                                                                                                                     
Utiliza herramientas que permiten la comunicación asertiva en diferentes entornos teniendo en cuenta la pedagogía para la paz</t>
  </si>
  <si>
    <t>Reconoce su valor y el valor del otro de acuerdo a los principios de dignidad y construcción cultural y autonomía. 
Cambia actitudes frente a su comportamiento con base en la dignidad, aportando a la cultura de paz</t>
  </si>
  <si>
    <t xml:space="preserve">Cambia actitudes frente a su comportamiento con base en la dignidad, aportando a la cultura de paz  
Reconoce hitos históricos de violencia y paz como aporte a la construcción de una cultura de paz  </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</si>
  <si>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</si>
  <si>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</si>
  <si>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</si>
  <si>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Reconoce las necesidades del contexto, según las problemáticas identificadas.</t>
  </si>
  <si>
    <t>Describe el problema de investigación de acuerdo a los elementos observados.
Plantea los objetivos de la investigación según la pregunta de investigación.</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</si>
  <si>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</si>
  <si>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Comunica los resultados de la investigación según criterios de presentación de informes.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</si>
  <si>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</si>
  <si>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</si>
  <si>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Interpreta los fundamentos de Estilo de vida saludable, Higiene y Nutrición en los contextos productivo y social.
Administra un plan de Higiene Corporal dentro del contexto productivo.</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</si>
  <si>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</si>
  <si>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</si>
  <si>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</si>
  <si>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 xml:space="preserve"> Sigue instrucciones de  un  proceso relacionado  con su quehacer  laboral   
 Brinda  solución  a  un  problema  sencillo  haciendo uso de  una  adecuada  pronunciación,  fluidez,  rango   de  vocabulario  y  estructura  gramatical  para  el  nivel pre intermedio</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</si>
  <si>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</si>
  <si>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 Genera plantillas y estilos de acuerdo con el diseño establecido.
• Crea interfaces de usuario aplicando buenas prácticas de usabilidad y accesibilidad.</t>
  </si>
  <si>
    <t xml:space="preserve"> Hace uso  de  términos  y  expresiones  relacionadas  con  su  ámbito  laboral  específico. </t>
  </si>
  <si>
    <t>Participa en el desarrollo de acciones orientadas al control de los impactos ambientales y la disminución de accidentes y enfermedades laborales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</si>
  <si>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</si>
  <si>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Determina acciones para orientar a su equipo de trabajo en los planes y programas ambientales y de SST según políticas de la organización</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</si>
  <si>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</si>
  <si>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</si>
  <si>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</si>
  <si>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</si>
  <si>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</si>
  <si>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 xml:space="preserve">Hace uso  de  vocabulario  relacionado  con  familia,  aficiones  e  intereses,  trabajo, viajes  y  hechos de    actualidad,  en  textos  orales  y  escritos
Enlaza   una  serie  de  elementos  breves,  concretos  y  sencillos  para   crear  una secuencia  cohesionada    y  lineal.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</si>
  <si>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</si>
  <si>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Propone estrategias de solución de conflictos y negociación de acuerdo con la normativa.</t>
  </si>
  <si>
    <t>Evalúa los resultados de la aplicación de los mecanismos de protección para el ejercicio de la ciudadanía laboral acorde con la normativa.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</si>
  <si>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</si>
  <si>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 xml:space="preserve">Aplica acciones de emprendimiento de acuerdo con los elementos de desarrollo social y personal </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</si>
  <si>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</si>
  <si>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 xml:space="preserve">Determina grupos focales de mercado de acuerdo con la idea de negocio 
Integra elementos básicos de investigación de acuerdo con las necesidades descriptivas del plan de negocio </t>
  </si>
  <si>
    <t>Determina el impacto del plan de negocio conforme con las atribuciones y dinámicas del sector productivo 
Argumenta la idea de negocio conforme con la propuesta y necesidades del sector productivo.</t>
  </si>
  <si>
    <t>Prepara la plataforma tecnológica, con base en las características del sistema operativo seleccionado.
Verifica el cumplimiento de las características mínimas de hardware requeridas para el software desarrollado
Diseña el plan de migración de datos de acuerdo con las condiciones de implementación
Diseña el plan de respaldo de los datos para mitigar riesgos.
Elabora el plan de instalación de acuerdo con las características del software a implantar</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</si>
  <si>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</si>
  <si>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</si>
  <si>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</si>
  <si>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</si>
  <si>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Ajusta procesos del desarrollo de software de acuerdo con el referente de calidad adoptado.
Determina las acciones correctivas, preventivas y de mejoramiento de acuerdo con los resultados de la evaluación.</t>
  </si>
  <si>
    <t>CRITERIOS DE EVALUACIÓN</t>
  </si>
  <si>
    <t>X</t>
  </si>
  <si>
    <t>Ficha</t>
  </si>
  <si>
    <t>Crit</t>
  </si>
  <si>
    <r>
      <rPr>
        <b/>
        <sz val="9"/>
        <color theme="1"/>
        <rFont val="sansserif"/>
      </rPr>
      <t>Instrucciones:</t>
    </r>
    <r>
      <rPr>
        <sz val="9"/>
        <color theme="1"/>
        <rFont val="sansserif"/>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</si>
  <si>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ANALISIS Y DESARROLLO DE SOFTWARE: 3413974</t>
  </si>
  <si>
    <t>Joseph Felipe Aguirre Churta</t>
  </si>
  <si>
    <t>joseph.churta2009@gmail.com</t>
  </si>
  <si>
    <t xml:space="preserve">Por ahora soy capaz de cumplir solo el primer punto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</si>
</sst>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font>
      <sz val="12"/>
      <color theme="1"/>
      <name val="Calibri"/>
      <family val="2"/>
      <scheme val="minor"/>
    </font>
    <font>
      <sz val="10"/>
      <color indexed="8"/>
      <name val="sansserif"/>
    </font>
    <font>
      <b/>
      <sz val="24"/>
      <color indexed="8"/>
      <name val="sansserif"/>
    </font>
    <font>
      <b/>
      <sz val="10"/>
      <color indexed="8"/>
      <name val="sansserif"/>
    </font>
    <font>
      <sz val="9"/>
      <color indexed="8"/>
      <name val="sansserif"/>
    </font>
    <font>
      <sz val="9"/>
      <color theme="1"/>
      <name val="sansserif"/>
    </font>
    <font>
      <b/>
      <sz val="10"/>
      <color theme="1"/>
      <name val="sansserif"/>
    </font>
    <font>
      <sz val="9"/>
      <name val="sansserif"/>
    </font>
    <font>
      <b/>
      <sz val="9"/>
      <color theme="1"/>
      <name val="sansserif"/>
    </font>
    <font>
      <u/>
      <sz val="12"/>
      <color theme="10"/>
      <name val="Calibri"/>
      <family val="2"/>
      <scheme val="minor"/>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72">
    <xf numFmtId="0" fontId="0" fillId="0" borderId="0" xfId="0"/>
    <xf numFmtId="0" fontId="1" fillId="0" borderId="0" xfId="0" applyFont="1" applyAlignment="1">
      <alignment horizontal="left" vertical="top" wrapText="1"/>
    </xf>
    <xf numFmtId="0" fontId="2" fillId="0" borderId="0" xfId="0" applyFont="1" applyAlignment="1">
      <alignment vertical="center" wrapText="1"/>
    </xf>
    <xf numFmtId="0" fontId="0" fillId="0" borderId="1" xfId="0" applyBorder="1"/>
    <xf numFmtId="0" fontId="1" fillId="0" borderId="6" xfId="0" applyFont="1" applyBorder="1" applyAlignment="1">
      <alignment horizontal="left" vertical="top" wrapText="1"/>
    </xf>
    <xf numFmtId="0" fontId="0" fillId="0" borderId="5"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8" xfId="0" applyBorder="1"/>
    <xf numFmtId="0" fontId="0" fillId="0" borderId="9" xfId="0" applyBorder="1"/>
    <xf numFmtId="0" fontId="0" fillId="0" borderId="15" xfId="0" applyBorder="1" applyAlignment="1">
      <alignment horizontal="center" vertical="center"/>
    </xf>
    <xf numFmtId="0" fontId="0" fillId="0" borderId="16" xfId="0" applyBorder="1"/>
    <xf numFmtId="0" fontId="0" fillId="0" borderId="17" xfId="0" applyBorder="1"/>
    <xf numFmtId="0" fontId="0" fillId="0" borderId="2" xfId="0" applyBorder="1" applyAlignment="1">
      <alignment horizontal="center" vertical="center"/>
    </xf>
    <xf numFmtId="0" fontId="0" fillId="0" borderId="3" xfId="0" applyBorder="1"/>
    <xf numFmtId="0" fontId="0" fillId="0" borderId="4" xfId="0" applyBorder="1"/>
    <xf numFmtId="164" fontId="3" fillId="0" borderId="14" xfId="0" applyNumberFormat="1" applyFont="1" applyBorder="1" applyAlignment="1">
      <alignment horizontal="center" vertical="top" wrapText="1"/>
    </xf>
    <xf numFmtId="0" fontId="5" fillId="0" borderId="0" xfId="0" applyFont="1"/>
    <xf numFmtId="0" fontId="7" fillId="0" borderId="29" xfId="0" applyFont="1" applyBorder="1" applyAlignment="1">
      <alignment vertical="top" wrapText="1"/>
    </xf>
    <xf numFmtId="0" fontId="7" fillId="0" borderId="29" xfId="0" applyFont="1" applyBorder="1" applyAlignment="1">
      <alignment horizontal="left" vertical="top" wrapText="1"/>
    </xf>
    <xf numFmtId="0" fontId="5" fillId="0" borderId="29" xfId="0" applyFont="1" applyBorder="1" applyAlignment="1">
      <alignment wrapText="1"/>
    </xf>
    <xf numFmtId="0" fontId="4" fillId="0" borderId="29" xfId="0" applyFont="1" applyBorder="1" applyAlignment="1">
      <alignment horizontal="left" vertical="top" wrapText="1"/>
    </xf>
    <xf numFmtId="0" fontId="7" fillId="0" borderId="29" xfId="0" applyFont="1" applyBorder="1" applyAlignment="1">
      <alignment horizontal="left" vertical="center" wrapText="1"/>
    </xf>
    <xf numFmtId="0" fontId="5" fillId="0" borderId="29" xfId="0" applyFont="1" applyBorder="1" applyAlignment="1">
      <alignment vertical="center" wrapText="1"/>
    </xf>
    <xf numFmtId="0" fontId="7" fillId="0" borderId="30" xfId="0" applyFont="1" applyBorder="1" applyAlignment="1">
      <alignment vertical="top" wrapText="1"/>
    </xf>
    <xf numFmtId="0" fontId="1" fillId="0" borderId="3" xfId="0" applyFont="1" applyBorder="1" applyAlignment="1">
      <alignment horizontal="left" vertical="top" wrapText="1"/>
    </xf>
    <xf numFmtId="0" fontId="1" fillId="0" borderId="1" xfId="0" applyFont="1" applyBorder="1" applyAlignment="1">
      <alignment horizontal="left" vertical="top" wrapText="1"/>
    </xf>
    <xf numFmtId="0" fontId="1" fillId="0" borderId="8" xfId="0" applyFont="1" applyBorder="1" applyAlignment="1">
      <alignment horizontal="left" vertical="top" wrapText="1"/>
    </xf>
    <xf numFmtId="0" fontId="1" fillId="0" borderId="16" xfId="0" applyFont="1" applyBorder="1" applyAlignment="1">
      <alignment horizontal="left" vertical="top"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164" fontId="1" fillId="0" borderId="24" xfId="0" applyNumberFormat="1" applyFont="1" applyBorder="1" applyAlignment="1">
      <alignment horizontal="center" vertical="center" wrapText="1"/>
    </xf>
    <xf numFmtId="164" fontId="1" fillId="0" borderId="25" xfId="0" applyNumberFormat="1" applyFont="1" applyBorder="1" applyAlignment="1">
      <alignment horizontal="center" vertical="center" wrapText="1"/>
    </xf>
    <xf numFmtId="164" fontId="1" fillId="0" borderId="26" xfId="0" applyNumberFormat="1"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1"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7" xfId="0" applyFont="1" applyBorder="1" applyAlignment="1">
      <alignment horizontal="center" vertical="center" wrapText="1"/>
    </xf>
    <xf numFmtId="164" fontId="3" fillId="0" borderId="3" xfId="0" applyNumberFormat="1" applyFont="1" applyBorder="1" applyAlignment="1">
      <alignment horizontal="center" vertical="center" wrapText="1"/>
    </xf>
    <xf numFmtId="164" fontId="3" fillId="0" borderId="14"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1" fillId="0" borderId="3" xfId="0" applyFont="1" applyBorder="1" applyAlignment="1">
      <alignment horizontal="left" vertical="center" wrapText="1"/>
    </xf>
    <xf numFmtId="0" fontId="1" fillId="0" borderId="1" xfId="0" applyFont="1" applyBorder="1" applyAlignment="1">
      <alignment horizontal="left" vertical="center" wrapText="1"/>
    </xf>
    <xf numFmtId="0" fontId="1" fillId="0" borderId="8" xfId="0" applyFont="1" applyBorder="1" applyAlignment="1">
      <alignment horizontal="left" vertical="center" wrapText="1"/>
    </xf>
    <xf numFmtId="164" fontId="3" fillId="0" borderId="3" xfId="0" applyNumberFormat="1" applyFont="1" applyBorder="1" applyAlignment="1">
      <alignment horizontal="center"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9" fillId="0" borderId="10" xfId="1" applyBorder="1" applyAlignment="1">
      <alignment horizontal="center" vertical="center" wrapText="1"/>
    </xf>
  </cellXfs>
  <cellStyles count="2">
    <cellStyle name="Hipervínculo" xfId="1" builtinId="8"/>
    <cellStyle name="Normal" xfId="0" builtinId="0"/>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joseph.churta200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78EFC-CADE-244C-9D95-B165E521281C}">
  <dimension ref="A1:H201"/>
  <sheetViews>
    <sheetView tabSelected="1" zoomScaleNormal="100" workbookViewId="0">
      <selection sqref="A1:F1"/>
    </sheetView>
  </sheetViews>
  <sheetFormatPr baseColWidth="10" defaultRowHeight="15.5"/>
  <cols>
    <col min="1" max="1" width="3.33203125" bestFit="1" customWidth="1"/>
    <col min="2" max="2" width="22.1640625" customWidth="1"/>
    <col min="3" max="3" width="65.33203125" customWidth="1"/>
    <col min="4" max="5" width="4.1640625" bestFit="1" customWidth="1"/>
    <col min="6" max="6" width="21.33203125" customWidth="1"/>
    <col min="7" max="7" width="2.1640625" customWidth="1"/>
    <col min="8" max="8" width="110" style="17" customWidth="1"/>
  </cols>
  <sheetData>
    <row r="1" spans="1:8" ht="55" customHeight="1" thickBot="1">
      <c r="A1" s="43" t="s">
        <v>92</v>
      </c>
      <c r="B1" s="44"/>
      <c r="C1" s="44"/>
      <c r="D1" s="44"/>
      <c r="E1" s="44"/>
      <c r="F1" s="45"/>
      <c r="G1" s="2"/>
    </row>
    <row r="2" spans="1:8" ht="20" customHeight="1">
      <c r="A2" s="67" t="s">
        <v>91</v>
      </c>
      <c r="B2" s="68"/>
      <c r="C2" s="46" t="s">
        <v>183</v>
      </c>
      <c r="D2" s="47"/>
      <c r="E2" s="47"/>
      <c r="F2" s="48"/>
      <c r="G2" s="1"/>
      <c r="H2" s="31" t="s">
        <v>182</v>
      </c>
    </row>
    <row r="3" spans="1:8" ht="20" customHeight="1">
      <c r="A3" s="58" t="s">
        <v>104</v>
      </c>
      <c r="B3" s="59"/>
      <c r="C3" s="60"/>
      <c r="D3" s="61"/>
      <c r="E3" s="61"/>
      <c r="F3" s="62"/>
      <c r="G3" s="1"/>
      <c r="H3" s="32"/>
    </row>
    <row r="4" spans="1:8" ht="20" customHeight="1">
      <c r="A4" s="58" t="s">
        <v>94</v>
      </c>
      <c r="B4" s="59"/>
      <c r="C4" s="34" t="s">
        <v>184</v>
      </c>
      <c r="D4" s="34"/>
      <c r="E4" s="34"/>
      <c r="F4" s="49"/>
      <c r="G4" s="1"/>
      <c r="H4" s="32"/>
    </row>
    <row r="5" spans="1:8" ht="20" customHeight="1">
      <c r="A5" s="58" t="s">
        <v>95</v>
      </c>
      <c r="B5" s="59"/>
      <c r="C5" s="34">
        <v>1029664379</v>
      </c>
      <c r="D5" s="34"/>
      <c r="E5" s="34"/>
      <c r="F5" s="49"/>
      <c r="G5" s="1"/>
      <c r="H5" s="32"/>
    </row>
    <row r="6" spans="1:8" ht="20" customHeight="1">
      <c r="A6" s="58" t="s">
        <v>96</v>
      </c>
      <c r="B6" s="59"/>
      <c r="C6" s="37">
        <v>3106000538</v>
      </c>
      <c r="D6" s="38"/>
      <c r="E6" s="38"/>
      <c r="F6" s="39"/>
      <c r="G6" s="1"/>
      <c r="H6" s="32"/>
    </row>
    <row r="7" spans="1:8" ht="20" customHeight="1">
      <c r="A7" s="58" t="s">
        <v>97</v>
      </c>
      <c r="B7" s="59"/>
      <c r="C7" s="71" t="s">
        <v>185</v>
      </c>
      <c r="D7" s="38"/>
      <c r="E7" s="38"/>
      <c r="F7" s="39"/>
      <c r="G7" s="1"/>
      <c r="H7" s="32"/>
    </row>
    <row r="8" spans="1:8" ht="20" customHeight="1" thickBot="1">
      <c r="A8" s="69" t="s">
        <v>93</v>
      </c>
      <c r="B8" s="70"/>
      <c r="C8" s="40">
        <v>46068</v>
      </c>
      <c r="D8" s="41"/>
      <c r="E8" s="41"/>
      <c r="F8" s="42"/>
      <c r="G8" s="1"/>
    </row>
    <row r="9" spans="1:8">
      <c r="A9" s="56" t="s">
        <v>98</v>
      </c>
      <c r="B9" s="54" t="s">
        <v>99</v>
      </c>
      <c r="C9" s="52" t="s">
        <v>100</v>
      </c>
      <c r="D9" s="66" t="s">
        <v>101</v>
      </c>
      <c r="E9" s="66"/>
      <c r="F9" s="50" t="s">
        <v>103</v>
      </c>
      <c r="G9" s="1"/>
      <c r="H9" s="29" t="s">
        <v>178</v>
      </c>
    </row>
    <row r="10" spans="1:8" ht="16" thickBot="1">
      <c r="A10" s="57"/>
      <c r="B10" s="55"/>
      <c r="C10" s="53"/>
      <c r="D10" s="16" t="s">
        <v>102</v>
      </c>
      <c r="E10" s="16" t="s">
        <v>98</v>
      </c>
      <c r="F10" s="51"/>
      <c r="G10" s="1"/>
      <c r="H10" s="30"/>
    </row>
    <row r="11" spans="1:8" ht="37.5">
      <c r="A11" s="13">
        <v>1</v>
      </c>
      <c r="B11" s="63" t="s">
        <v>0</v>
      </c>
      <c r="C11" s="25" t="s">
        <v>3</v>
      </c>
      <c r="D11" s="14" t="s">
        <v>179</v>
      </c>
      <c r="E11" s="14"/>
      <c r="F11" s="15"/>
      <c r="G11" t="str">
        <f>IF(AND(D11="X", E11="X"),"Error","")</f>
        <v/>
      </c>
      <c r="H11" s="18" t="s">
        <v>136</v>
      </c>
    </row>
    <row r="12" spans="1:8" ht="37.5">
      <c r="A12" s="5">
        <v>2</v>
      </c>
      <c r="B12" s="64"/>
      <c r="C12" s="26" t="s">
        <v>2</v>
      </c>
      <c r="D12" s="3" t="s">
        <v>179</v>
      </c>
      <c r="E12" s="3"/>
      <c r="F12" s="6"/>
      <c r="G12" t="str">
        <f t="shared" ref="G12:G75" si="0">IF(AND(D12="X", E12="X"),"Error","")</f>
        <v/>
      </c>
      <c r="H12" s="18" t="s">
        <v>134</v>
      </c>
    </row>
    <row r="13" spans="1:8" ht="37.5">
      <c r="A13" s="5">
        <v>3</v>
      </c>
      <c r="B13" s="64"/>
      <c r="C13" s="26" t="s">
        <v>4</v>
      </c>
      <c r="D13" s="3" t="s">
        <v>179</v>
      </c>
      <c r="E13" s="3"/>
      <c r="F13" s="6"/>
      <c r="G13" t="str">
        <f t="shared" si="0"/>
        <v/>
      </c>
      <c r="H13" s="18" t="s">
        <v>137</v>
      </c>
    </row>
    <row r="14" spans="1:8" ht="38" thickBot="1">
      <c r="A14" s="7">
        <v>4</v>
      </c>
      <c r="B14" s="65"/>
      <c r="C14" s="27" t="s">
        <v>1</v>
      </c>
      <c r="D14" s="8" t="s">
        <v>179</v>
      </c>
      <c r="E14" s="8"/>
      <c r="F14" s="9"/>
      <c r="G14" t="str">
        <f t="shared" si="0"/>
        <v/>
      </c>
      <c r="H14" s="18" t="s">
        <v>135</v>
      </c>
    </row>
    <row r="15" spans="1:8" ht="37.5">
      <c r="A15" s="13">
        <v>5</v>
      </c>
      <c r="B15" s="63" t="s">
        <v>5</v>
      </c>
      <c r="C15" s="25" t="s">
        <v>9</v>
      </c>
      <c r="D15" s="14"/>
      <c r="E15" s="14" t="s">
        <v>179</v>
      </c>
      <c r="F15" s="15"/>
      <c r="G15" t="str">
        <f t="shared" si="0"/>
        <v/>
      </c>
      <c r="H15" s="19" t="s">
        <v>109</v>
      </c>
    </row>
    <row r="16" spans="1:8" ht="69">
      <c r="A16" s="5">
        <v>6</v>
      </c>
      <c r="B16" s="64"/>
      <c r="C16" s="26" t="s">
        <v>6</v>
      </c>
      <c r="D16" s="3"/>
      <c r="E16" s="3" t="s">
        <v>179</v>
      </c>
      <c r="F16" s="6"/>
      <c r="G16" t="str">
        <f t="shared" si="0"/>
        <v/>
      </c>
      <c r="H16" s="19" t="s">
        <v>110</v>
      </c>
    </row>
    <row r="17" spans="1:8" ht="25">
      <c r="A17" s="5">
        <v>7</v>
      </c>
      <c r="B17" s="64"/>
      <c r="C17" s="26" t="s">
        <v>8</v>
      </c>
      <c r="D17" s="3"/>
      <c r="E17" s="3" t="s">
        <v>179</v>
      </c>
      <c r="F17" s="6"/>
      <c r="G17" t="str">
        <f t="shared" si="0"/>
        <v/>
      </c>
      <c r="H17" s="19" t="s">
        <v>111</v>
      </c>
    </row>
    <row r="18" spans="1:8" ht="21" customHeight="1" thickBot="1">
      <c r="A18" s="7">
        <v>8</v>
      </c>
      <c r="B18" s="65"/>
      <c r="C18" s="27" t="s">
        <v>7</v>
      </c>
      <c r="D18" s="8"/>
      <c r="E18" s="8" t="s">
        <v>179</v>
      </c>
      <c r="F18" s="9"/>
      <c r="G18" t="str">
        <f t="shared" si="0"/>
        <v/>
      </c>
      <c r="H18" s="19" t="s">
        <v>112</v>
      </c>
    </row>
    <row r="19" spans="1:8" ht="37.5">
      <c r="A19" s="13">
        <v>9</v>
      </c>
      <c r="B19" s="33" t="s">
        <v>10</v>
      </c>
      <c r="C19" s="25" t="s">
        <v>15</v>
      </c>
      <c r="D19" s="14" t="s">
        <v>179</v>
      </c>
      <c r="E19" s="14"/>
      <c r="F19" s="15"/>
      <c r="G19" t="str">
        <f t="shared" si="0"/>
        <v/>
      </c>
      <c r="H19" s="19" t="s">
        <v>113</v>
      </c>
    </row>
    <row r="20" spans="1:8" ht="46">
      <c r="A20" s="5">
        <v>10</v>
      </c>
      <c r="B20" s="34"/>
      <c r="C20" s="26" t="s">
        <v>13</v>
      </c>
      <c r="D20" s="3"/>
      <c r="E20" s="3" t="s">
        <v>179</v>
      </c>
      <c r="F20" s="6"/>
      <c r="G20" t="str">
        <f t="shared" si="0"/>
        <v/>
      </c>
      <c r="H20" s="19" t="s">
        <v>130</v>
      </c>
    </row>
    <row r="21" spans="1:8" ht="25">
      <c r="A21" s="5">
        <v>11</v>
      </c>
      <c r="B21" s="34"/>
      <c r="C21" s="26" t="s">
        <v>16</v>
      </c>
      <c r="D21" s="3"/>
      <c r="E21" s="3" t="s">
        <v>179</v>
      </c>
      <c r="F21" s="6"/>
      <c r="G21" t="str">
        <f t="shared" si="0"/>
        <v/>
      </c>
      <c r="H21" s="18" t="s">
        <v>145</v>
      </c>
    </row>
    <row r="22" spans="1:8" ht="37.5">
      <c r="A22" s="5">
        <v>12</v>
      </c>
      <c r="B22" s="34"/>
      <c r="C22" s="26" t="s">
        <v>12</v>
      </c>
      <c r="D22" s="3" t="s">
        <v>179</v>
      </c>
      <c r="E22" s="3"/>
      <c r="F22" s="6"/>
      <c r="G22" t="str">
        <f t="shared" si="0"/>
        <v/>
      </c>
      <c r="H22" s="18" t="s">
        <v>163</v>
      </c>
    </row>
    <row r="23" spans="1:8" ht="37.5">
      <c r="A23" s="5">
        <v>13</v>
      </c>
      <c r="B23" s="34"/>
      <c r="C23" s="26" t="s">
        <v>14</v>
      </c>
      <c r="D23" s="3"/>
      <c r="E23" s="3" t="s">
        <v>179</v>
      </c>
      <c r="F23" s="6"/>
      <c r="G23" t="str">
        <f t="shared" si="0"/>
        <v/>
      </c>
      <c r="H23" s="18" t="s">
        <v>151</v>
      </c>
    </row>
    <row r="24" spans="1:8" ht="38" thickBot="1">
      <c r="A24" s="7">
        <v>14</v>
      </c>
      <c r="B24" s="35"/>
      <c r="C24" s="27" t="s">
        <v>11</v>
      </c>
      <c r="D24" s="8"/>
      <c r="E24" s="8" t="s">
        <v>179</v>
      </c>
      <c r="F24" s="9"/>
      <c r="G24" t="str">
        <f t="shared" si="0"/>
        <v/>
      </c>
      <c r="H24" s="18" t="s">
        <v>154</v>
      </c>
    </row>
    <row r="25" spans="1:8" ht="50">
      <c r="A25" s="13">
        <v>15</v>
      </c>
      <c r="B25" s="33" t="s">
        <v>17</v>
      </c>
      <c r="C25" s="25" t="s">
        <v>19</v>
      </c>
      <c r="D25" s="14"/>
      <c r="E25" s="14" t="s">
        <v>179</v>
      </c>
      <c r="F25" s="15"/>
      <c r="G25" t="str">
        <f t="shared" si="0"/>
        <v/>
      </c>
      <c r="H25" s="18" t="s">
        <v>155</v>
      </c>
    </row>
    <row r="26" spans="1:8" ht="45" customHeight="1">
      <c r="A26" s="5">
        <v>16</v>
      </c>
      <c r="B26" s="34"/>
      <c r="C26" s="26" t="s">
        <v>21</v>
      </c>
      <c r="D26" s="3"/>
      <c r="E26" s="3" t="s">
        <v>179</v>
      </c>
      <c r="F26" s="6"/>
      <c r="G26" t="str">
        <f t="shared" si="0"/>
        <v/>
      </c>
      <c r="H26" s="18" t="s">
        <v>156</v>
      </c>
    </row>
    <row r="27" spans="1:8" ht="37.5">
      <c r="A27" s="5">
        <v>17</v>
      </c>
      <c r="B27" s="34"/>
      <c r="C27" s="26" t="s">
        <v>20</v>
      </c>
      <c r="D27" s="3"/>
      <c r="E27" s="3" t="s">
        <v>179</v>
      </c>
      <c r="F27" s="6"/>
      <c r="G27" t="str">
        <f t="shared" si="0"/>
        <v/>
      </c>
      <c r="H27" s="18" t="s">
        <v>157</v>
      </c>
    </row>
    <row r="28" spans="1:8" ht="50.5" thickBot="1">
      <c r="A28" s="7">
        <v>18</v>
      </c>
      <c r="B28" s="35"/>
      <c r="C28" s="27" t="s">
        <v>18</v>
      </c>
      <c r="D28" s="8"/>
      <c r="E28" s="8" t="s">
        <v>179</v>
      </c>
      <c r="F28" s="9"/>
      <c r="G28" t="str">
        <f t="shared" si="0"/>
        <v/>
      </c>
      <c r="H28" s="18" t="s">
        <v>158</v>
      </c>
    </row>
    <row r="29" spans="1:8" ht="25">
      <c r="A29" s="13">
        <v>19</v>
      </c>
      <c r="B29" s="33" t="s">
        <v>22</v>
      </c>
      <c r="C29" s="25" t="s">
        <v>23</v>
      </c>
      <c r="D29" s="14"/>
      <c r="E29" s="14" t="s">
        <v>179</v>
      </c>
      <c r="F29" s="15"/>
      <c r="G29" t="str">
        <f t="shared" si="0"/>
        <v/>
      </c>
      <c r="H29" s="18" t="s">
        <v>147</v>
      </c>
    </row>
    <row r="30" spans="1:8" ht="34.5">
      <c r="A30" s="5">
        <v>20</v>
      </c>
      <c r="B30" s="34"/>
      <c r="C30" s="26" t="s">
        <v>24</v>
      </c>
      <c r="D30" s="3"/>
      <c r="E30" s="3" t="s">
        <v>179</v>
      </c>
      <c r="F30" s="6"/>
      <c r="G30" t="str">
        <f t="shared" si="0"/>
        <v/>
      </c>
      <c r="H30" s="18" t="s">
        <v>148</v>
      </c>
    </row>
    <row r="31" spans="1:8" ht="37.5">
      <c r="A31" s="5">
        <v>21</v>
      </c>
      <c r="B31" s="34"/>
      <c r="C31" s="26" t="s">
        <v>25</v>
      </c>
      <c r="D31" s="3"/>
      <c r="E31" s="3" t="s">
        <v>179</v>
      </c>
      <c r="F31" s="6"/>
      <c r="G31" t="str">
        <f t="shared" si="0"/>
        <v/>
      </c>
      <c r="H31" s="18" t="s">
        <v>149</v>
      </c>
    </row>
    <row r="32" spans="1:8" ht="35" thickBot="1">
      <c r="A32" s="7">
        <v>22</v>
      </c>
      <c r="B32" s="35"/>
      <c r="C32" s="27" t="s">
        <v>26</v>
      </c>
      <c r="D32" s="8"/>
      <c r="E32" s="8" t="s">
        <v>179</v>
      </c>
      <c r="F32" s="9"/>
      <c r="G32" t="str">
        <f t="shared" si="0"/>
        <v/>
      </c>
      <c r="H32" s="18" t="s">
        <v>150</v>
      </c>
    </row>
    <row r="33" spans="1:8" ht="25">
      <c r="A33" s="13">
        <v>23</v>
      </c>
      <c r="B33" s="33" t="s">
        <v>27</v>
      </c>
      <c r="C33" s="25" t="s">
        <v>28</v>
      </c>
      <c r="D33" s="14"/>
      <c r="E33" s="14" t="s">
        <v>179</v>
      </c>
      <c r="F33" s="15"/>
      <c r="G33" t="str">
        <f t="shared" si="0"/>
        <v/>
      </c>
      <c r="H33" s="19" t="s">
        <v>115</v>
      </c>
    </row>
    <row r="34" spans="1:8" ht="25">
      <c r="A34" s="5">
        <v>24</v>
      </c>
      <c r="B34" s="34"/>
      <c r="C34" s="26" t="s">
        <v>30</v>
      </c>
      <c r="D34" s="3"/>
      <c r="E34" s="3" t="s">
        <v>179</v>
      </c>
      <c r="F34" s="6"/>
      <c r="G34" t="str">
        <f t="shared" si="0"/>
        <v/>
      </c>
      <c r="H34" s="19" t="s">
        <v>116</v>
      </c>
    </row>
    <row r="35" spans="1:8" ht="25">
      <c r="A35" s="5">
        <v>25</v>
      </c>
      <c r="B35" s="34"/>
      <c r="C35" s="26" t="s">
        <v>31</v>
      </c>
      <c r="D35" s="3"/>
      <c r="E35" s="3" t="s">
        <v>179</v>
      </c>
      <c r="F35" s="6"/>
      <c r="G35" t="str">
        <f t="shared" si="0"/>
        <v/>
      </c>
      <c r="H35" s="19" t="s">
        <v>117</v>
      </c>
    </row>
    <row r="36" spans="1:8" ht="25.5" thickBot="1">
      <c r="A36" s="7">
        <v>26</v>
      </c>
      <c r="B36" s="35"/>
      <c r="C36" s="27" t="s">
        <v>29</v>
      </c>
      <c r="D36" s="8"/>
      <c r="E36" s="8" t="s">
        <v>179</v>
      </c>
      <c r="F36" s="9"/>
      <c r="G36" t="str">
        <f t="shared" si="0"/>
        <v/>
      </c>
      <c r="H36" s="19" t="s">
        <v>118</v>
      </c>
    </row>
    <row r="37" spans="1:8" ht="25">
      <c r="A37" s="13">
        <v>27</v>
      </c>
      <c r="B37" s="33" t="s">
        <v>32</v>
      </c>
      <c r="C37" s="25" t="s">
        <v>34</v>
      </c>
      <c r="D37" s="14" t="s">
        <v>179</v>
      </c>
      <c r="E37" s="14"/>
      <c r="F37" s="15"/>
      <c r="G37" t="str">
        <f t="shared" si="0"/>
        <v/>
      </c>
      <c r="H37" s="19" t="s">
        <v>126</v>
      </c>
    </row>
    <row r="38" spans="1:8" ht="37.5">
      <c r="A38" s="5">
        <v>28</v>
      </c>
      <c r="B38" s="34"/>
      <c r="C38" s="26" t="s">
        <v>36</v>
      </c>
      <c r="D38" s="3" t="s">
        <v>179</v>
      </c>
      <c r="E38" s="3"/>
      <c r="F38" s="6"/>
      <c r="G38" t="str">
        <f t="shared" si="0"/>
        <v/>
      </c>
      <c r="H38" s="19" t="s">
        <v>127</v>
      </c>
    </row>
    <row r="39" spans="1:8" ht="34.5">
      <c r="A39" s="5">
        <v>29</v>
      </c>
      <c r="B39" s="34"/>
      <c r="C39" s="26" t="s">
        <v>33</v>
      </c>
      <c r="D39" s="3"/>
      <c r="E39" s="3" t="s">
        <v>179</v>
      </c>
      <c r="F39" s="6"/>
      <c r="G39" t="str">
        <f t="shared" si="0"/>
        <v/>
      </c>
      <c r="H39" s="19" t="s">
        <v>128</v>
      </c>
    </row>
    <row r="40" spans="1:8" ht="46.5" thickBot="1">
      <c r="A40" s="7">
        <v>30</v>
      </c>
      <c r="B40" s="35"/>
      <c r="C40" s="27" t="s">
        <v>35</v>
      </c>
      <c r="D40" s="8"/>
      <c r="E40" s="8" t="s">
        <v>179</v>
      </c>
      <c r="F40" s="9"/>
      <c r="G40" t="str">
        <f t="shared" si="0"/>
        <v/>
      </c>
      <c r="H40" s="19" t="s">
        <v>129</v>
      </c>
    </row>
    <row r="41" spans="1:8" ht="25">
      <c r="A41" s="13">
        <v>31</v>
      </c>
      <c r="B41" s="33" t="s">
        <v>37</v>
      </c>
      <c r="C41" s="25" t="s">
        <v>39</v>
      </c>
      <c r="D41" s="14" t="s">
        <v>179</v>
      </c>
      <c r="E41" s="14"/>
      <c r="F41" s="15"/>
      <c r="G41" t="str">
        <f t="shared" si="0"/>
        <v/>
      </c>
      <c r="H41" s="18" t="s">
        <v>141</v>
      </c>
    </row>
    <row r="42" spans="1:8" ht="25">
      <c r="A42" s="5">
        <v>32</v>
      </c>
      <c r="B42" s="34"/>
      <c r="C42" s="26" t="s">
        <v>41</v>
      </c>
      <c r="D42" s="3"/>
      <c r="E42" s="3" t="s">
        <v>179</v>
      </c>
      <c r="F42" s="6"/>
      <c r="G42" t="str">
        <f t="shared" si="0"/>
        <v/>
      </c>
      <c r="H42" s="18" t="s">
        <v>142</v>
      </c>
    </row>
    <row r="43" spans="1:8" ht="34.5">
      <c r="A43" s="5">
        <v>33</v>
      </c>
      <c r="B43" s="34"/>
      <c r="C43" s="26" t="s">
        <v>40</v>
      </c>
      <c r="D43" s="3"/>
      <c r="E43" s="3" t="s">
        <v>179</v>
      </c>
      <c r="F43" s="6"/>
      <c r="G43" t="str">
        <f t="shared" si="0"/>
        <v/>
      </c>
      <c r="H43" s="18" t="s">
        <v>143</v>
      </c>
    </row>
    <row r="44" spans="1:8" ht="25.5" thickBot="1">
      <c r="A44" s="7">
        <v>34</v>
      </c>
      <c r="B44" s="35"/>
      <c r="C44" s="27" t="s">
        <v>38</v>
      </c>
      <c r="D44" s="8"/>
      <c r="E44" s="8" t="s">
        <v>179</v>
      </c>
      <c r="F44" s="9"/>
      <c r="G44" t="str">
        <f t="shared" si="0"/>
        <v/>
      </c>
      <c r="H44" s="18" t="s">
        <v>144</v>
      </c>
    </row>
    <row r="45" spans="1:8" ht="58.5">
      <c r="A45" s="13">
        <v>35</v>
      </c>
      <c r="B45" s="33" t="s">
        <v>42</v>
      </c>
      <c r="C45" s="25" t="s">
        <v>45</v>
      </c>
      <c r="D45" s="14"/>
      <c r="E45" s="14" t="s">
        <v>179</v>
      </c>
      <c r="F45" s="15"/>
      <c r="G45" t="str">
        <f t="shared" si="0"/>
        <v/>
      </c>
      <c r="H45" s="20" t="s">
        <v>172</v>
      </c>
    </row>
    <row r="46" spans="1:8" ht="70">
      <c r="A46" s="5">
        <v>36</v>
      </c>
      <c r="B46" s="34"/>
      <c r="C46" s="26" t="s">
        <v>44</v>
      </c>
      <c r="D46" s="3"/>
      <c r="E46" s="3" t="s">
        <v>179</v>
      </c>
      <c r="F46" s="6"/>
      <c r="G46" t="str">
        <f t="shared" si="0"/>
        <v/>
      </c>
      <c r="H46" s="20" t="s">
        <v>173</v>
      </c>
    </row>
    <row r="47" spans="1:8" ht="34.5">
      <c r="A47" s="5">
        <v>37</v>
      </c>
      <c r="B47" s="34"/>
      <c r="C47" s="26" t="s">
        <v>43</v>
      </c>
      <c r="D47" s="3"/>
      <c r="E47" s="3" t="s">
        <v>179</v>
      </c>
      <c r="F47" s="6"/>
      <c r="G47" t="str">
        <f t="shared" si="0"/>
        <v/>
      </c>
      <c r="H47" s="21" t="s">
        <v>174</v>
      </c>
    </row>
    <row r="48" spans="1:8" ht="47.5" thickBot="1">
      <c r="A48" s="7">
        <v>38</v>
      </c>
      <c r="B48" s="35"/>
      <c r="C48" s="27" t="s">
        <v>46</v>
      </c>
      <c r="D48" s="8"/>
      <c r="E48" s="8" t="s">
        <v>179</v>
      </c>
      <c r="F48" s="9"/>
      <c r="G48" t="str">
        <f t="shared" si="0"/>
        <v/>
      </c>
      <c r="H48" s="20" t="s">
        <v>175</v>
      </c>
    </row>
    <row r="49" spans="1:8" ht="58.5">
      <c r="A49" s="13">
        <v>39</v>
      </c>
      <c r="B49" s="33" t="s">
        <v>47</v>
      </c>
      <c r="C49" s="25" t="s">
        <v>49</v>
      </c>
      <c r="D49" s="14"/>
      <c r="E49" s="14" t="s">
        <v>179</v>
      </c>
      <c r="F49" s="15"/>
      <c r="G49" t="str">
        <f t="shared" si="0"/>
        <v/>
      </c>
      <c r="H49" s="20" t="s">
        <v>138</v>
      </c>
    </row>
    <row r="50" spans="1:8" ht="93">
      <c r="A50" s="5">
        <v>40</v>
      </c>
      <c r="B50" s="34"/>
      <c r="C50" s="26" t="s">
        <v>51</v>
      </c>
      <c r="D50" s="3"/>
      <c r="E50" s="3" t="s">
        <v>179</v>
      </c>
      <c r="F50" s="6"/>
      <c r="G50" t="str">
        <f t="shared" si="0"/>
        <v/>
      </c>
      <c r="H50" s="20" t="s">
        <v>139</v>
      </c>
    </row>
    <row r="51" spans="1:8" ht="35.5">
      <c r="A51" s="5">
        <v>41</v>
      </c>
      <c r="B51" s="34"/>
      <c r="C51" s="26" t="s">
        <v>50</v>
      </c>
      <c r="D51" s="3" t="s">
        <v>179</v>
      </c>
      <c r="E51" s="3"/>
      <c r="F51" s="6"/>
      <c r="G51" t="str">
        <f t="shared" si="0"/>
        <v/>
      </c>
      <c r="H51" s="20" t="s">
        <v>140</v>
      </c>
    </row>
    <row r="52" spans="1:8" ht="46.5" thickBot="1">
      <c r="A52" s="7">
        <v>42</v>
      </c>
      <c r="B52" s="35"/>
      <c r="C52" s="27" t="s">
        <v>48</v>
      </c>
      <c r="D52" s="8"/>
      <c r="E52" s="8" t="s">
        <v>179</v>
      </c>
      <c r="F52" s="9"/>
      <c r="G52" t="str">
        <f t="shared" si="0"/>
        <v/>
      </c>
      <c r="H52" s="22" t="s">
        <v>146</v>
      </c>
    </row>
    <row r="53" spans="1:8" ht="46">
      <c r="A53" s="13">
        <v>43</v>
      </c>
      <c r="B53" s="33" t="s">
        <v>52</v>
      </c>
      <c r="C53" s="25" t="s">
        <v>53</v>
      </c>
      <c r="D53" s="14"/>
      <c r="E53" s="14" t="s">
        <v>179</v>
      </c>
      <c r="F53" s="15"/>
      <c r="G53" t="str">
        <f t="shared" si="0"/>
        <v/>
      </c>
      <c r="H53" s="19" t="s">
        <v>131</v>
      </c>
    </row>
    <row r="54" spans="1:8" ht="25">
      <c r="A54" s="5">
        <v>44</v>
      </c>
      <c r="B54" s="34"/>
      <c r="C54" s="26" t="s">
        <v>55</v>
      </c>
      <c r="D54" s="3"/>
      <c r="E54" s="3" t="s">
        <v>179</v>
      </c>
      <c r="F54" s="6"/>
      <c r="G54" t="str">
        <f t="shared" si="0"/>
        <v/>
      </c>
      <c r="H54" s="19" t="s">
        <v>132</v>
      </c>
    </row>
    <row r="55" spans="1:8" ht="25.5" thickBot="1">
      <c r="A55" s="7">
        <v>45</v>
      </c>
      <c r="B55" s="35"/>
      <c r="C55" s="27" t="s">
        <v>54</v>
      </c>
      <c r="D55" s="8"/>
      <c r="E55" s="8" t="s">
        <v>179</v>
      </c>
      <c r="F55" s="9"/>
      <c r="G55" t="str">
        <f t="shared" si="0"/>
        <v/>
      </c>
      <c r="H55" s="19" t="s">
        <v>133</v>
      </c>
    </row>
    <row r="56" spans="1:8" ht="58.5">
      <c r="A56" s="13">
        <v>46</v>
      </c>
      <c r="B56" s="33" t="s">
        <v>56</v>
      </c>
      <c r="C56" s="25" t="s">
        <v>59</v>
      </c>
      <c r="D56" s="14"/>
      <c r="E56" s="14" t="s">
        <v>179</v>
      </c>
      <c r="F56" s="15"/>
      <c r="G56" t="str">
        <f t="shared" si="0"/>
        <v/>
      </c>
      <c r="H56" s="20" t="s">
        <v>159</v>
      </c>
    </row>
    <row r="57" spans="1:8" ht="35.5">
      <c r="A57" s="5">
        <v>47</v>
      </c>
      <c r="B57" s="34"/>
      <c r="C57" s="26" t="s">
        <v>60</v>
      </c>
      <c r="D57" s="3"/>
      <c r="E57" s="3" t="s">
        <v>179</v>
      </c>
      <c r="F57" s="6" t="s">
        <v>186</v>
      </c>
      <c r="G57" t="str">
        <f t="shared" si="0"/>
        <v/>
      </c>
      <c r="H57" s="20" t="s">
        <v>152</v>
      </c>
    </row>
    <row r="58" spans="1:8" ht="25">
      <c r="A58" s="5">
        <v>48</v>
      </c>
      <c r="B58" s="34"/>
      <c r="C58" s="26" t="s">
        <v>57</v>
      </c>
      <c r="D58" s="3"/>
      <c r="E58" s="3" t="s">
        <v>179</v>
      </c>
      <c r="F58" s="6"/>
      <c r="G58" t="str">
        <f t="shared" si="0"/>
        <v/>
      </c>
      <c r="H58" s="21" t="s">
        <v>153</v>
      </c>
    </row>
    <row r="59" spans="1:8" ht="47">
      <c r="A59" s="5">
        <v>49</v>
      </c>
      <c r="B59" s="34"/>
      <c r="C59" s="26" t="s">
        <v>61</v>
      </c>
      <c r="D59" s="3"/>
      <c r="E59" s="3" t="s">
        <v>179</v>
      </c>
      <c r="F59" s="6"/>
      <c r="G59" t="str">
        <f t="shared" si="0"/>
        <v/>
      </c>
      <c r="H59" s="20" t="s">
        <v>160</v>
      </c>
    </row>
    <row r="60" spans="1:8" ht="45" customHeight="1" thickBot="1">
      <c r="A60" s="7">
        <v>50</v>
      </c>
      <c r="B60" s="35"/>
      <c r="C60" s="27" t="s">
        <v>58</v>
      </c>
      <c r="D60" s="8"/>
      <c r="E60" s="8" t="s">
        <v>179</v>
      </c>
      <c r="F60" s="9"/>
      <c r="G60" t="str">
        <f t="shared" si="0"/>
        <v/>
      </c>
      <c r="H60" s="23" t="s">
        <v>161</v>
      </c>
    </row>
    <row r="61" spans="1:8" ht="70">
      <c r="A61" s="13">
        <v>51</v>
      </c>
      <c r="B61" s="33" t="s">
        <v>62</v>
      </c>
      <c r="C61" s="25" t="s">
        <v>65</v>
      </c>
      <c r="D61" s="14"/>
      <c r="E61" s="14" t="s">
        <v>179</v>
      </c>
      <c r="F61" s="15"/>
      <c r="G61" t="str">
        <f t="shared" si="0"/>
        <v/>
      </c>
      <c r="H61" s="20" t="s">
        <v>162</v>
      </c>
    </row>
    <row r="62" spans="1:8" ht="35.5">
      <c r="A62" s="5">
        <v>52</v>
      </c>
      <c r="B62" s="34"/>
      <c r="C62" s="26" t="s">
        <v>63</v>
      </c>
      <c r="D62" s="3"/>
      <c r="E62" s="3" t="s">
        <v>179</v>
      </c>
      <c r="F62" s="6"/>
      <c r="G62" t="str">
        <f t="shared" si="0"/>
        <v/>
      </c>
      <c r="H62" s="20" t="s">
        <v>176</v>
      </c>
    </row>
    <row r="63" spans="1:8" ht="25.5" thickBot="1">
      <c r="A63" s="7">
        <v>53</v>
      </c>
      <c r="B63" s="35"/>
      <c r="C63" s="27" t="s">
        <v>64</v>
      </c>
      <c r="D63" s="8"/>
      <c r="E63" s="8" t="s">
        <v>179</v>
      </c>
      <c r="F63" s="9"/>
      <c r="G63" t="str">
        <f t="shared" si="0"/>
        <v/>
      </c>
      <c r="H63" s="21" t="s">
        <v>177</v>
      </c>
    </row>
    <row r="64" spans="1:8" ht="25">
      <c r="A64" s="13">
        <v>54</v>
      </c>
      <c r="B64" s="33" t="s">
        <v>66</v>
      </c>
      <c r="C64" s="25" t="s">
        <v>69</v>
      </c>
      <c r="D64" s="14"/>
      <c r="E64" s="14" t="s">
        <v>179</v>
      </c>
      <c r="F64" s="15"/>
      <c r="G64" t="str">
        <f t="shared" si="0"/>
        <v/>
      </c>
      <c r="H64" s="19" t="s">
        <v>123</v>
      </c>
    </row>
    <row r="65" spans="1:8" ht="81.5">
      <c r="A65" s="5">
        <v>55</v>
      </c>
      <c r="B65" s="34"/>
      <c r="C65" s="26" t="s">
        <v>67</v>
      </c>
      <c r="D65" s="3"/>
      <c r="E65" s="3" t="s">
        <v>179</v>
      </c>
      <c r="F65" s="6"/>
      <c r="G65" t="str">
        <f t="shared" si="0"/>
        <v/>
      </c>
      <c r="H65" s="20" t="s">
        <v>124</v>
      </c>
    </row>
    <row r="66" spans="1:8" ht="69">
      <c r="A66" s="5">
        <v>56</v>
      </c>
      <c r="B66" s="34"/>
      <c r="C66" s="26" t="s">
        <v>70</v>
      </c>
      <c r="D66" s="3"/>
      <c r="E66" s="3" t="s">
        <v>179</v>
      </c>
      <c r="F66" s="6"/>
      <c r="G66" t="str">
        <f t="shared" si="0"/>
        <v/>
      </c>
      <c r="H66" s="21" t="s">
        <v>114</v>
      </c>
    </row>
    <row r="67" spans="1:8" ht="46.5" thickBot="1">
      <c r="A67" s="7">
        <v>57</v>
      </c>
      <c r="B67" s="35"/>
      <c r="C67" s="27" t="s">
        <v>68</v>
      </c>
      <c r="D67" s="8"/>
      <c r="E67" s="8" t="s">
        <v>179</v>
      </c>
      <c r="F67" s="9"/>
      <c r="G67" t="str">
        <f t="shared" si="0"/>
        <v/>
      </c>
      <c r="H67" s="19" t="s">
        <v>125</v>
      </c>
    </row>
    <row r="68" spans="1:8" ht="46">
      <c r="A68" s="13">
        <v>58</v>
      </c>
      <c r="B68" s="33" t="s">
        <v>71</v>
      </c>
      <c r="C68" s="25" t="s">
        <v>74</v>
      </c>
      <c r="D68" s="14"/>
      <c r="E68" s="14" t="s">
        <v>179</v>
      </c>
      <c r="F68" s="15"/>
      <c r="G68" t="str">
        <f t="shared" si="0"/>
        <v/>
      </c>
      <c r="H68" s="19" t="s">
        <v>105</v>
      </c>
    </row>
    <row r="69" spans="1:8" ht="69">
      <c r="A69" s="5">
        <v>59</v>
      </c>
      <c r="B69" s="34"/>
      <c r="C69" s="26" t="s">
        <v>72</v>
      </c>
      <c r="D69" s="3"/>
      <c r="E69" s="3" t="s">
        <v>179</v>
      </c>
      <c r="F69" s="6"/>
      <c r="G69" t="str">
        <f t="shared" si="0"/>
        <v/>
      </c>
      <c r="H69" s="19" t="s">
        <v>106</v>
      </c>
    </row>
    <row r="70" spans="1:8" ht="25">
      <c r="A70" s="5">
        <v>60</v>
      </c>
      <c r="B70" s="34"/>
      <c r="C70" s="26" t="s">
        <v>75</v>
      </c>
      <c r="D70" s="3"/>
      <c r="E70" s="3" t="s">
        <v>179</v>
      </c>
      <c r="F70" s="4"/>
      <c r="G70" t="str">
        <f t="shared" si="0"/>
        <v/>
      </c>
      <c r="H70" s="19" t="s">
        <v>107</v>
      </c>
    </row>
    <row r="71" spans="1:8" ht="25.5" thickBot="1">
      <c r="A71" s="7">
        <v>61</v>
      </c>
      <c r="B71" s="35"/>
      <c r="C71" s="27" t="s">
        <v>73</v>
      </c>
      <c r="D71" s="8"/>
      <c r="E71" s="8" t="s">
        <v>179</v>
      </c>
      <c r="F71" s="9"/>
      <c r="G71" t="str">
        <f t="shared" si="0"/>
        <v/>
      </c>
      <c r="H71" s="19" t="s">
        <v>108</v>
      </c>
    </row>
    <row r="72" spans="1:8" ht="25">
      <c r="A72" s="13">
        <v>62</v>
      </c>
      <c r="B72" s="33" t="s">
        <v>76</v>
      </c>
      <c r="C72" s="25" t="s">
        <v>79</v>
      </c>
      <c r="D72" s="14"/>
      <c r="E72" s="14" t="s">
        <v>179</v>
      </c>
      <c r="F72" s="15"/>
      <c r="G72" t="str">
        <f t="shared" si="0"/>
        <v/>
      </c>
      <c r="H72" s="18" t="s">
        <v>164</v>
      </c>
    </row>
    <row r="73" spans="1:8" ht="25">
      <c r="A73" s="5">
        <v>63</v>
      </c>
      <c r="B73" s="34"/>
      <c r="C73" s="26" t="s">
        <v>78</v>
      </c>
      <c r="D73" s="3"/>
      <c r="E73" s="3" t="s">
        <v>179</v>
      </c>
      <c r="F73" s="6"/>
      <c r="G73" t="str">
        <f t="shared" si="0"/>
        <v/>
      </c>
      <c r="H73" s="18" t="s">
        <v>165</v>
      </c>
    </row>
    <row r="74" spans="1:8" ht="25">
      <c r="A74" s="5">
        <v>64</v>
      </c>
      <c r="B74" s="34"/>
      <c r="C74" s="26" t="s">
        <v>77</v>
      </c>
      <c r="D74" s="3"/>
      <c r="E74" s="3" t="s">
        <v>179</v>
      </c>
      <c r="F74" s="6"/>
      <c r="G74" t="str">
        <f t="shared" si="0"/>
        <v/>
      </c>
      <c r="H74" s="18" t="s">
        <v>166</v>
      </c>
    </row>
    <row r="75" spans="1:8" ht="58" thickBot="1">
      <c r="A75" s="7">
        <v>65</v>
      </c>
      <c r="B75" s="35"/>
      <c r="C75" s="27" t="s">
        <v>80</v>
      </c>
      <c r="D75" s="8"/>
      <c r="E75" s="8" t="s">
        <v>179</v>
      </c>
      <c r="F75" s="9"/>
      <c r="G75" t="str">
        <f t="shared" si="0"/>
        <v/>
      </c>
      <c r="H75" s="18" t="s">
        <v>167</v>
      </c>
    </row>
    <row r="76" spans="1:8" ht="37.5">
      <c r="A76" s="13">
        <v>66</v>
      </c>
      <c r="B76" s="33" t="s">
        <v>81</v>
      </c>
      <c r="C76" s="25" t="s">
        <v>83</v>
      </c>
      <c r="D76" s="14"/>
      <c r="E76" s="14" t="s">
        <v>179</v>
      </c>
      <c r="F76" s="15"/>
      <c r="G76" t="str">
        <f t="shared" ref="G76:G83" si="1">IF(AND(D76="X", E76="X"),"Error","")</f>
        <v/>
      </c>
      <c r="H76" s="19" t="s">
        <v>119</v>
      </c>
    </row>
    <row r="77" spans="1:8" ht="34.5">
      <c r="A77" s="5">
        <v>67</v>
      </c>
      <c r="B77" s="34"/>
      <c r="C77" s="26" t="s">
        <v>85</v>
      </c>
      <c r="D77" s="3"/>
      <c r="E77" s="3" t="s">
        <v>179</v>
      </c>
      <c r="F77" s="6"/>
      <c r="G77" t="str">
        <f t="shared" si="1"/>
        <v/>
      </c>
      <c r="H77" s="19" t="s">
        <v>120</v>
      </c>
    </row>
    <row r="78" spans="1:8" ht="34.5">
      <c r="A78" s="5">
        <v>68</v>
      </c>
      <c r="B78" s="34"/>
      <c r="C78" s="26" t="s">
        <v>82</v>
      </c>
      <c r="D78" s="3"/>
      <c r="E78" s="3" t="s">
        <v>179</v>
      </c>
      <c r="F78" s="6"/>
      <c r="G78" t="str">
        <f t="shared" si="1"/>
        <v/>
      </c>
      <c r="H78" s="19" t="s">
        <v>121</v>
      </c>
    </row>
    <row r="79" spans="1:8" ht="38" thickBot="1">
      <c r="A79" s="7">
        <v>69</v>
      </c>
      <c r="B79" s="35"/>
      <c r="C79" s="27" t="s">
        <v>84</v>
      </c>
      <c r="D79" s="8"/>
      <c r="E79" s="8" t="s">
        <v>179</v>
      </c>
      <c r="F79" s="9"/>
      <c r="G79" t="str">
        <f t="shared" si="1"/>
        <v/>
      </c>
      <c r="H79" s="19" t="s">
        <v>122</v>
      </c>
    </row>
    <row r="80" spans="1:8" ht="31" customHeight="1">
      <c r="A80" s="10">
        <v>70</v>
      </c>
      <c r="B80" s="36" t="s">
        <v>86</v>
      </c>
      <c r="C80" s="28" t="s">
        <v>90</v>
      </c>
      <c r="D80" s="11"/>
      <c r="E80" s="11" t="s">
        <v>179</v>
      </c>
      <c r="F80" s="12"/>
      <c r="G80" t="str">
        <f t="shared" si="1"/>
        <v/>
      </c>
      <c r="H80" s="18" t="s">
        <v>168</v>
      </c>
    </row>
    <row r="81" spans="1:8" ht="34.5">
      <c r="A81" s="5">
        <v>71</v>
      </c>
      <c r="B81" s="34"/>
      <c r="C81" s="26" t="s">
        <v>87</v>
      </c>
      <c r="D81" s="3"/>
      <c r="E81" s="3" t="s">
        <v>179</v>
      </c>
      <c r="F81" s="6"/>
      <c r="G81" t="str">
        <f t="shared" si="1"/>
        <v/>
      </c>
      <c r="H81" s="18" t="s">
        <v>169</v>
      </c>
    </row>
    <row r="82" spans="1:8" ht="25">
      <c r="A82" s="5">
        <v>72</v>
      </c>
      <c r="B82" s="34"/>
      <c r="C82" s="26" t="s">
        <v>88</v>
      </c>
      <c r="D82" s="3"/>
      <c r="E82" s="3" t="s">
        <v>179</v>
      </c>
      <c r="F82" s="6"/>
      <c r="G82" t="str">
        <f t="shared" si="1"/>
        <v/>
      </c>
      <c r="H82" s="18" t="s">
        <v>170</v>
      </c>
    </row>
    <row r="83" spans="1:8" ht="31" customHeight="1" thickBot="1">
      <c r="A83" s="7">
        <v>73</v>
      </c>
      <c r="B83" s="35"/>
      <c r="C83" s="27" t="s">
        <v>89</v>
      </c>
      <c r="D83" s="8"/>
      <c r="E83" s="8" t="s">
        <v>179</v>
      </c>
      <c r="F83" s="9"/>
      <c r="G83" t="str">
        <f t="shared" si="1"/>
        <v/>
      </c>
      <c r="H83" s="24" t="s">
        <v>171</v>
      </c>
    </row>
    <row r="88" spans="1:8">
      <c r="C88" s="1"/>
    </row>
    <row r="199" spans="2:4">
      <c r="B199" t="s">
        <v>180</v>
      </c>
      <c r="D199" t="s">
        <v>181</v>
      </c>
    </row>
    <row r="200" spans="2:4">
      <c r="B200">
        <v>2694667</v>
      </c>
    </row>
    <row r="201" spans="2:4">
      <c r="B201">
        <v>2694679</v>
      </c>
      <c r="D201" t="s">
        <v>179</v>
      </c>
    </row>
  </sheetData>
  <mergeCells count="40">
    <mergeCell ref="A1:F1"/>
    <mergeCell ref="C2:F2"/>
    <mergeCell ref="C4:F4"/>
    <mergeCell ref="C5:F5"/>
    <mergeCell ref="F9:F10"/>
    <mergeCell ref="C9:C10"/>
    <mergeCell ref="B9:B10"/>
    <mergeCell ref="A9:A10"/>
    <mergeCell ref="A3:B3"/>
    <mergeCell ref="C3:F3"/>
    <mergeCell ref="A5:B5"/>
    <mergeCell ref="A6:B6"/>
    <mergeCell ref="D9:E9"/>
    <mergeCell ref="A2:B2"/>
    <mergeCell ref="A4:B4"/>
    <mergeCell ref="A8:B8"/>
    <mergeCell ref="B80:B83"/>
    <mergeCell ref="C6:F6"/>
    <mergeCell ref="C7:F7"/>
    <mergeCell ref="C8:F8"/>
    <mergeCell ref="B45:B48"/>
    <mergeCell ref="B49:B52"/>
    <mergeCell ref="B53:B55"/>
    <mergeCell ref="B56:B60"/>
    <mergeCell ref="B61:B63"/>
    <mergeCell ref="B64:B67"/>
    <mergeCell ref="B19:B24"/>
    <mergeCell ref="B25:B28"/>
    <mergeCell ref="B29:B32"/>
    <mergeCell ref="B33:B36"/>
    <mergeCell ref="B37:B40"/>
    <mergeCell ref="B41:B44"/>
    <mergeCell ref="H9:H10"/>
    <mergeCell ref="H2:H7"/>
    <mergeCell ref="B68:B71"/>
    <mergeCell ref="B72:B75"/>
    <mergeCell ref="B76:B79"/>
    <mergeCell ref="B11:B14"/>
    <mergeCell ref="B15:B18"/>
    <mergeCell ref="A7:B7"/>
  </mergeCells>
  <conditionalFormatting sqref="D11:D83">
    <cfRule type="containsText" dxfId="2" priority="3" operator="containsText" text="X">
      <formula>NOT(ISERROR(SEARCH("X",D11)))</formula>
    </cfRule>
  </conditionalFormatting>
  <conditionalFormatting sqref="E11:E83">
    <cfRule type="containsText" dxfId="1" priority="2" operator="containsText" text="X">
      <formula>NOT(ISERROR(SEARCH("X",E11)))</formula>
    </cfRule>
  </conditionalFormatting>
  <conditionalFormatting sqref="G11:G83">
    <cfRule type="containsText" dxfId="0" priority="1" operator="containsText" text="Error">
      <formula>NOT(ISERROR(SEARCH("Error",G11)))</formula>
    </cfRule>
  </conditionalFormatting>
  <dataValidations count="2">
    <dataValidation type="list" showInputMessage="1" showErrorMessage="1" sqref="D11:E83" xr:uid="{CC65E72C-25F0-8A4B-B300-3FA2CE09E27B}">
      <formula1>$D$200:$D$201</formula1>
    </dataValidation>
    <dataValidation type="list" allowBlank="1" showInputMessage="1" showErrorMessage="1" sqref="C3:F3" xr:uid="{4887F4BB-F14C-5348-BE9A-EC030E104ADC}">
      <formula1>$B$200:$B$201</formula1>
    </dataValidation>
  </dataValidations>
  <hyperlinks>
    <hyperlink ref="C7" r:id="rId1" xr:uid="{CE8200E0-FF62-493A-A3F7-C77B01B0CFC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Cafamar</dc:creator>
  <cp:lastModifiedBy>rony Рони</cp:lastModifiedBy>
  <dcterms:created xsi:type="dcterms:W3CDTF">2023-02-08T13:45:18Z</dcterms:created>
  <dcterms:modified xsi:type="dcterms:W3CDTF">2026-02-15T23:39:29Z</dcterms:modified>
</cp:coreProperties>
</file>