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nyp\Downloads\"/>
    </mc:Choice>
  </mc:AlternateContent>
  <xr:revisionPtr revIDLastSave="0" documentId="13_ncr:1_{1692D5DF-7C56-470B-B32D-89EEE129E7A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os Recolectados" sheetId="1" r:id="rId1"/>
    <sheet name="Frecuencias y Estadísticas" sheetId="2" r:id="rId2"/>
    <sheet name="Gráficas" sheetId="3" r:id="rId3"/>
    <sheet name="Matriz de Priorización" sheetId="4" r:id="rId4"/>
    <sheet name="Lista de Requisito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4" l="1"/>
  <c r="E11" i="4"/>
  <c r="E10" i="4"/>
  <c r="E9" i="4"/>
  <c r="E8" i="4"/>
  <c r="E7" i="4"/>
  <c r="E6" i="4"/>
  <c r="E5" i="4"/>
  <c r="B16" i="2"/>
  <c r="B15" i="2"/>
  <c r="B14" i="2"/>
  <c r="B9" i="2"/>
  <c r="D6" i="2" s="1"/>
  <c r="D7" i="2"/>
  <c r="C5" i="2"/>
  <c r="C7" i="2" l="1"/>
  <c r="C8" i="2"/>
  <c r="D8" i="2"/>
  <c r="D5" i="2"/>
  <c r="C6" i="2"/>
</calcChain>
</file>

<file path=xl/sharedStrings.xml><?xml version="1.0" encoding="utf-8"?>
<sst xmlns="http://schemas.openxmlformats.org/spreadsheetml/2006/main" count="171" uniqueCount="119">
  <si>
    <t>SUPERMERCADO 'LA ESQUINA' — Datos Recolectados</t>
  </si>
  <si>
    <t>Análisis de Datos Recolectados · SENA · Módulo 2</t>
  </si>
  <si>
    <t>Participante</t>
  </si>
  <si>
    <t>Rol</t>
  </si>
  <si>
    <t>Funcionalidad más importante</t>
  </si>
  <si>
    <t>Ventas/día</t>
  </si>
  <si>
    <t>¿Factura electrónica?</t>
  </si>
  <si>
    <t>Carlos R.</t>
  </si>
  <si>
    <t>Dueño</t>
  </si>
  <si>
    <t>Control de inventario</t>
  </si>
  <si>
    <t>Sí</t>
  </si>
  <si>
    <t>Martha R.</t>
  </si>
  <si>
    <t>Cajera</t>
  </si>
  <si>
    <t>Registro de ventas</t>
  </si>
  <si>
    <t>No sé</t>
  </si>
  <si>
    <t>Julián P.</t>
  </si>
  <si>
    <t>Empleado</t>
  </si>
  <si>
    <t>No me importa</t>
  </si>
  <si>
    <t>Cliente 1</t>
  </si>
  <si>
    <t>Cliente</t>
  </si>
  <si>
    <t>Ver precios en pantalla</t>
  </si>
  <si>
    <t>-</t>
  </si>
  <si>
    <t>Cliente 2</t>
  </si>
  <si>
    <t>Pago con tarjeta</t>
  </si>
  <si>
    <t>TABLA DE FRECUENCIAS — Funcionalidades Mencionadas</t>
  </si>
  <si>
    <t>Tarea T1 · ¿Qué funcionalidad fue mencionada más veces?</t>
  </si>
  <si>
    <t>Funcionalidad</t>
  </si>
  <si>
    <t>Menciones</t>
  </si>
  <si>
    <t>Porcentaje</t>
  </si>
  <si>
    <t>Acumulado</t>
  </si>
  <si>
    <t>Prioridad</t>
  </si>
  <si>
    <t>🔴 CRÍTICO</t>
  </si>
  <si>
    <t>🟡 MEDIA</t>
  </si>
  <si>
    <t>TOTAL</t>
  </si>
  <si>
    <t>ESTADÍSTICAS DE VENTAS DIARIAS — Tarea T2</t>
  </si>
  <si>
    <t>Estadística</t>
  </si>
  <si>
    <t>Valor</t>
  </si>
  <si>
    <t>Interpretación</t>
  </si>
  <si>
    <t>Promedio de ventas/día</t>
  </si>
  <si>
    <t>El sistema debe manejar al menos 50 transacciones diarias</t>
  </si>
  <si>
    <t>Mínimo de ventas/día</t>
  </si>
  <si>
    <t>Carga mínima confirmada del sistema</t>
  </si>
  <si>
    <t>Máximo de ventas/día</t>
  </si>
  <si>
    <t>Capacidad mínima requerida sin margen de crecimiento</t>
  </si>
  <si>
    <t>Capacidad recomendada</t>
  </si>
  <si>
    <t>Doble del máximo actual como margen de crecimiento</t>
  </si>
  <si>
    <t>GRÁFICAS — Tarea T3</t>
  </si>
  <si>
    <t>Ver precios pantalla</t>
  </si>
  <si>
    <t>Respuesta</t>
  </si>
  <si>
    <t>Cantidad</t>
  </si>
  <si>
    <t>No sé / No importa</t>
  </si>
  <si>
    <t>MATRIZ DE PRIORIZACIÓN DE REQUISITOS — Tarea T5</t>
  </si>
  <si>
    <t>Escala: 1 = Muy baja  |  3 = Media  |  5 = Muy alta</t>
  </si>
  <si>
    <t>ID</t>
  </si>
  <si>
    <t>Requisito</t>
  </si>
  <si>
    <t>Importancia (1-5)</t>
  </si>
  <si>
    <t>Urgencia (1-5)</t>
  </si>
  <si>
    <t>Total</t>
  </si>
  <si>
    <t>Módulo</t>
  </si>
  <si>
    <t>R01</t>
  </si>
  <si>
    <t>Registrar ventas en tiempo real</t>
  </si>
  <si>
    <t>Ventas</t>
  </si>
  <si>
    <t>R02</t>
  </si>
  <si>
    <t>Controlar inventario de productos</t>
  </si>
  <si>
    <t>Inventario</t>
  </si>
  <si>
    <t>R03</t>
  </si>
  <si>
    <t>Alertas de stock mínimo</t>
  </si>
  <si>
    <t>R04</t>
  </si>
  <si>
    <t>Gestión de usuarios y roles</t>
  </si>
  <si>
    <t>Seguridad</t>
  </si>
  <si>
    <t>R05</t>
  </si>
  <si>
    <t>Mostrar precios al cliente</t>
  </si>
  <si>
    <t>R06</t>
  </si>
  <si>
    <t>Soporte para pago con tarjeta</t>
  </si>
  <si>
    <t>Pagos</t>
  </si>
  <si>
    <t>R07</t>
  </si>
  <si>
    <t>Emisión de factura electrónica</t>
  </si>
  <si>
    <t>Facturación</t>
  </si>
  <si>
    <t>R08</t>
  </si>
  <si>
    <t>Reportes de ventas por período</t>
  </si>
  <si>
    <t>Reportes</t>
  </si>
  <si>
    <t>LISTA DE REQUISITOS IDENTIFICADOS — Tarea T6</t>
  </si>
  <si>
    <t>Supermercado 'La Esquina' · Mínimo 8 requisitos con ID, descripción, tipo y fuente</t>
  </si>
  <si>
    <t>Descripción</t>
  </si>
  <si>
    <t>Tipo</t>
  </si>
  <si>
    <t>Fuente</t>
  </si>
  <si>
    <t>El sistema debe permitir registrar cada venta con producto, cantidad y precio</t>
  </si>
  <si>
    <t>Funcional</t>
  </si>
  <si>
    <t>Alta</t>
  </si>
  <si>
    <t>Martha R., Julián P. (encuesta)</t>
  </si>
  <si>
    <t>El sistema debe gestionar el inventario con cantidades actualizadas en tiempo real</t>
  </si>
  <si>
    <t>Carlos R. (entrevista)</t>
  </si>
  <si>
    <t>El sistema debe emitir alertas cuando un producto llegue al stock mínimo</t>
  </si>
  <si>
    <t>El sistema debe manejar roles: administrador y cajero con permisos distintos</t>
  </si>
  <si>
    <t>Media-Alta</t>
  </si>
  <si>
    <t>Análisis de contradicciones</t>
  </si>
  <si>
    <t>El sistema debe mostrar el precio de los productos visibles al cliente</t>
  </si>
  <si>
    <t>Media</t>
  </si>
  <si>
    <t>Cliente 1 (encuesta)</t>
  </si>
  <si>
    <t>El sistema debe procesar pagos con tarjeta débito/crédito</t>
  </si>
  <si>
    <t>Cliente 2 (encuesta)</t>
  </si>
  <si>
    <t>El sistema debe generar facturas electrónicas</t>
  </si>
  <si>
    <t>Carlos R., Clientes 1 y 2 (encuesta)</t>
  </si>
  <si>
    <t>El sistema debe generar reportes de ventas diarias y por período</t>
  </si>
  <si>
    <t>Baja</t>
  </si>
  <si>
    <t>R09</t>
  </si>
  <si>
    <t>El sistema debe ser accesible desde computador en el punto de venta</t>
  </si>
  <si>
    <t>No funcional</t>
  </si>
  <si>
    <t>Observación del contexto</t>
  </si>
  <si>
    <t>R10</t>
  </si>
  <si>
    <t>El sistema debe responder en menos de 2 segundos por transacción</t>
  </si>
  <si>
    <t>Necesidad operativa inferida</t>
  </si>
  <si>
    <t>Tipos de requisitos:</t>
  </si>
  <si>
    <t>Acciones que el sistema debe ejecutar</t>
  </si>
  <si>
    <t>Características de calidad, rendimiento y seguridad</t>
  </si>
  <si>
    <t xml:space="preserve"> Alta</t>
  </si>
  <si>
    <t xml:space="preserve"> Media-Alta</t>
  </si>
  <si>
    <t xml:space="preserve"> Media</t>
  </si>
  <si>
    <t xml:space="preserve">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</si>
</sst>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2D2D2D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b/>
      <sz val="10"/>
      <color rgb="FF003DA5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03DA5"/>
        <bgColor rgb="FF333399"/>
      </patternFill>
    </fill>
    <fill>
      <patternFill patternType="solid">
        <fgColor rgb="FF5A5A5A"/>
        <bgColor rgb="FF333399"/>
      </patternFill>
    </fill>
    <fill>
      <patternFill patternType="solid">
        <fgColor rgb="FFFFFFFF"/>
        <bgColor rgb="FFF9F9F9"/>
      </patternFill>
    </fill>
    <fill>
      <patternFill patternType="solid">
        <fgColor rgb="FFF4F9F0"/>
        <bgColor rgb="FFF9F9F9"/>
      </patternFill>
    </fill>
    <fill>
      <patternFill patternType="solid">
        <fgColor rgb="FF39A900"/>
        <bgColor rgb="FF008000"/>
      </patternFill>
    </fill>
    <fill>
      <patternFill patternType="solid">
        <fgColor rgb="FFD6F5C0"/>
        <bgColor rgb="FFFFF2CC"/>
      </patternFill>
    </fill>
    <fill>
      <patternFill patternType="solid">
        <fgColor rgb="FFD6E4FF"/>
        <bgColor rgb="FFD9D9D9"/>
      </patternFill>
    </fill>
    <fill>
      <patternFill patternType="solid">
        <fgColor rgb="FFFF6B00"/>
        <bgColor rgb="FFFF9900"/>
      </patternFill>
    </fill>
    <fill>
      <patternFill patternType="solid">
        <fgColor rgb="FFFFDAD5"/>
        <bgColor rgb="FFFFE5CC"/>
      </patternFill>
    </fill>
    <fill>
      <patternFill patternType="solid">
        <fgColor rgb="FFFFE5CC"/>
        <bgColor rgb="FFFFDAD5"/>
      </patternFill>
    </fill>
    <fill>
      <patternFill patternType="solid">
        <fgColor rgb="FFFFF2CC"/>
        <bgColor rgb="FFFFE5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/>
    </xf>
    <xf numFmtId="0" fontId="0" fillId="0" borderId="2" xfId="0" applyBorder="1"/>
    <xf numFmtId="0" fontId="6" fillId="0" borderId="2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7" borderId="2" xfId="0" applyFont="1" applyFill="1" applyBorder="1"/>
    <xf numFmtId="0" fontId="3" fillId="8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D6E4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9F0"/>
      <rgbColor rgb="FFD6F5C0"/>
      <rgbColor rgb="FFFFE5CC"/>
      <rgbColor rgb="FFF9F9F9"/>
      <rgbColor rgb="FFFF99CC"/>
      <rgbColor rgb="FFCC99FF"/>
      <rgbColor rgb="FFFFDAD5"/>
      <rgbColor rgb="FF4F81BD"/>
      <rgbColor rgb="FF33CCCC"/>
      <rgbColor rgb="FF99CC00"/>
      <rgbColor rgb="FFFFCC00"/>
      <rgbColor rgb="FFFF9900"/>
      <rgbColor rgb="FFFF6B00"/>
      <rgbColor rgb="FF5A5A5A"/>
      <rgbColor rgb="FF969696"/>
      <rgbColor rgb="FF003DA5"/>
      <rgbColor rgb="FF39A900"/>
      <rgbColor rgb="FF003300"/>
      <rgbColor rgb="FF333300"/>
      <rgbColor rgb="FF993300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Funcionalidades más solicitadas — La Esquina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Gráficas!$B$2</c:f>
              <c:strCache>
                <c:ptCount val="1"/>
                <c:pt idx="0">
                  <c:v>Menciones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Gráficas!$A$3:$A$6</c:f>
              <c:strCache>
                <c:ptCount val="4"/>
                <c:pt idx="0">
                  <c:v>Registro de ventas</c:v>
                </c:pt>
                <c:pt idx="1">
                  <c:v>Control de inventario</c:v>
                </c:pt>
                <c:pt idx="2">
                  <c:v>Ver precios pantalla</c:v>
                </c:pt>
                <c:pt idx="3">
                  <c:v>Pago con tarjeta</c:v>
                </c:pt>
              </c:strCache>
            </c:strRef>
          </c:cat>
          <c:val>
            <c:numRef>
              <c:f>Gráficas!$B$3:$B$6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9-4646-83BD-49F23593C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413925"/>
        <c:axId val="88810762"/>
      </c:barChart>
      <c:catAx>
        <c:axId val="674139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Funcionalidad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88810762"/>
        <c:crosses val="autoZero"/>
        <c:auto val="1"/>
        <c:lblAlgn val="ctr"/>
        <c:lblOffset val="100"/>
        <c:noMultiLvlLbl val="0"/>
      </c:catAx>
      <c:valAx>
        <c:axId val="88810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Número de menciones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74139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¿Los usuarios quieren factura electrónica?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Gráficas!$B$7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Gráficas!$A$8:$A$9</c:f>
              <c:strCache>
                <c:ptCount val="2"/>
                <c:pt idx="0">
                  <c:v>Sí</c:v>
                </c:pt>
                <c:pt idx="1">
                  <c:v>No sé / No importa</c:v>
                </c:pt>
              </c:strCache>
            </c:strRef>
          </c:cat>
          <c:val>
            <c:numRef>
              <c:f>Gráficas!$B$8:$B$9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5-4A1F-805C-6B2E7E64E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319352"/>
        <c:axId val="25792894"/>
      </c:barChart>
      <c:catAx>
        <c:axId val="88319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5792894"/>
        <c:crosses val="autoZero"/>
        <c:auto val="1"/>
        <c:lblAlgn val="ctr"/>
        <c:lblOffset val="100"/>
        <c:noMultiLvlLbl val="0"/>
      </c:catAx>
      <c:valAx>
        <c:axId val="2579289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Respuestas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883193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13</xdr:col>
      <xdr:colOff>364680</xdr:colOff>
      <xdr:row>24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19</xdr:row>
      <xdr:rowOff>0</xdr:rowOff>
    </xdr:from>
    <xdr:to>
      <xdr:col>13</xdr:col>
      <xdr:colOff>364680</xdr:colOff>
      <xdr:row>37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showGridLines="0" tabSelected="1" zoomScaleNormal="100" workbookViewId="0">
      <selection activeCell="E6" sqref="E6"/>
    </sheetView>
  </sheetViews>
  <sheetFormatPr defaultColWidth="8.6640625" defaultRowHeight="14.4" x14ac:dyDescent="0.3"/>
  <cols>
    <col min="1" max="1" width="18" customWidth="1"/>
    <col min="2" max="2" width="14" customWidth="1"/>
    <col min="3" max="3" width="30" customWidth="1"/>
    <col min="4" max="4" width="14" customWidth="1"/>
    <col min="5" max="5" width="22" customWidth="1"/>
  </cols>
  <sheetData>
    <row r="1" spans="1:5" ht="31.5" customHeight="1" x14ac:dyDescent="0.3">
      <c r="A1" s="7" t="s">
        <v>0</v>
      </c>
      <c r="B1" s="7"/>
      <c r="C1" s="7"/>
      <c r="D1" s="7"/>
      <c r="E1" s="7"/>
    </row>
    <row r="2" spans="1:5" ht="19.5" customHeight="1" x14ac:dyDescent="0.3">
      <c r="A2" s="6" t="s">
        <v>1</v>
      </c>
      <c r="B2" s="6"/>
      <c r="C2" s="6"/>
      <c r="D2" s="6"/>
      <c r="E2" s="6"/>
    </row>
    <row r="3" spans="1:5" ht="9.75" customHeight="1" x14ac:dyDescent="0.3"/>
    <row r="4" spans="1:5" ht="30" customHeight="1" x14ac:dyDescent="0.3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</row>
    <row r="5" spans="1:5" ht="21.75" customHeight="1" x14ac:dyDescent="0.3">
      <c r="A5" s="9" t="s">
        <v>7</v>
      </c>
      <c r="B5" s="10" t="s">
        <v>8</v>
      </c>
      <c r="C5" s="10" t="s">
        <v>9</v>
      </c>
      <c r="D5" s="10">
        <v>50</v>
      </c>
      <c r="E5" s="10" t="s">
        <v>10</v>
      </c>
    </row>
    <row r="6" spans="1:5" ht="21.75" customHeight="1" x14ac:dyDescent="0.3">
      <c r="A6" s="11" t="s">
        <v>11</v>
      </c>
      <c r="B6" s="12" t="s">
        <v>12</v>
      </c>
      <c r="C6" s="12" t="s">
        <v>13</v>
      </c>
      <c r="D6" s="12">
        <v>50</v>
      </c>
      <c r="E6" s="12" t="s">
        <v>14</v>
      </c>
    </row>
    <row r="7" spans="1:5" ht="21.75" customHeight="1" x14ac:dyDescent="0.3">
      <c r="A7" s="9" t="s">
        <v>15</v>
      </c>
      <c r="B7" s="10" t="s">
        <v>16</v>
      </c>
      <c r="C7" s="10" t="s">
        <v>13</v>
      </c>
      <c r="D7" s="10">
        <v>50</v>
      </c>
      <c r="E7" s="10" t="s">
        <v>17</v>
      </c>
    </row>
    <row r="8" spans="1:5" ht="21.75" customHeight="1" x14ac:dyDescent="0.3">
      <c r="A8" s="11" t="s">
        <v>18</v>
      </c>
      <c r="B8" s="12" t="s">
        <v>19</v>
      </c>
      <c r="C8" s="12" t="s">
        <v>20</v>
      </c>
      <c r="D8" s="12" t="s">
        <v>21</v>
      </c>
      <c r="E8" s="12" t="s">
        <v>10</v>
      </c>
    </row>
    <row r="9" spans="1:5" ht="21.75" customHeight="1" x14ac:dyDescent="0.3">
      <c r="A9" s="9" t="s">
        <v>22</v>
      </c>
      <c r="B9" s="10" t="s">
        <v>19</v>
      </c>
      <c r="C9" s="10" t="s">
        <v>23</v>
      </c>
      <c r="D9" s="10" t="s">
        <v>21</v>
      </c>
      <c r="E9" s="10" t="s">
        <v>10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showGridLines="0" zoomScaleNormal="100" workbookViewId="0">
      <selection activeCell="A3" sqref="A3"/>
    </sheetView>
  </sheetViews>
  <sheetFormatPr defaultColWidth="8.6640625" defaultRowHeight="14.4" x14ac:dyDescent="0.3"/>
  <cols>
    <col min="1" max="1" width="28" customWidth="1"/>
    <col min="2" max="2" width="18" customWidth="1"/>
    <col min="3" max="3" width="16" customWidth="1"/>
    <col min="4" max="4" width="18" customWidth="1"/>
    <col min="5" max="5" width="20" customWidth="1"/>
  </cols>
  <sheetData>
    <row r="1" spans="1:5" ht="31.5" customHeight="1" x14ac:dyDescent="0.3">
      <c r="A1" s="5" t="s">
        <v>24</v>
      </c>
      <c r="B1" s="5"/>
      <c r="C1" s="5"/>
      <c r="D1" s="5"/>
      <c r="E1" s="5"/>
    </row>
    <row r="2" spans="1:5" ht="19.5" customHeight="1" x14ac:dyDescent="0.3">
      <c r="A2" s="6" t="s">
        <v>25</v>
      </c>
      <c r="B2" s="6"/>
      <c r="C2" s="6"/>
      <c r="D2" s="6"/>
      <c r="E2" s="6"/>
    </row>
    <row r="4" spans="1:5" ht="27.75" customHeight="1" x14ac:dyDescent="0.3">
      <c r="A4" s="13" t="s">
        <v>26</v>
      </c>
      <c r="B4" s="13" t="s">
        <v>27</v>
      </c>
      <c r="C4" s="13" t="s">
        <v>28</v>
      </c>
      <c r="D4" s="13" t="s">
        <v>29</v>
      </c>
      <c r="E4" s="13" t="s">
        <v>30</v>
      </c>
    </row>
    <row r="5" spans="1:5" ht="21.75" customHeight="1" x14ac:dyDescent="0.3">
      <c r="A5" s="14" t="s">
        <v>13</v>
      </c>
      <c r="B5" s="15">
        <v>2</v>
      </c>
      <c r="C5" s="16">
        <f>B5/B9</f>
        <v>0.4</v>
      </c>
      <c r="D5" s="16">
        <f>SUM($B$5:B5)/B$9</f>
        <v>0.4</v>
      </c>
      <c r="E5" s="17" t="s">
        <v>31</v>
      </c>
    </row>
    <row r="6" spans="1:5" ht="21.75" customHeight="1" x14ac:dyDescent="0.3">
      <c r="A6" s="14" t="s">
        <v>9</v>
      </c>
      <c r="B6" s="15">
        <v>1</v>
      </c>
      <c r="C6" s="16">
        <f>B6/B9</f>
        <v>0.2</v>
      </c>
      <c r="D6" s="16">
        <f>SUM($B$5:B6)/B$9</f>
        <v>0.6</v>
      </c>
      <c r="E6" s="17" t="s">
        <v>32</v>
      </c>
    </row>
    <row r="7" spans="1:5" ht="21.75" customHeight="1" x14ac:dyDescent="0.3">
      <c r="A7" s="14" t="s">
        <v>20</v>
      </c>
      <c r="B7" s="15">
        <v>1</v>
      </c>
      <c r="C7" s="16">
        <f>B7/B9</f>
        <v>0.2</v>
      </c>
      <c r="D7" s="16">
        <f>SUM($B$5:B7)/B$9</f>
        <v>0.8</v>
      </c>
      <c r="E7" s="17" t="s">
        <v>32</v>
      </c>
    </row>
    <row r="8" spans="1:5" ht="21.75" customHeight="1" x14ac:dyDescent="0.3">
      <c r="A8" s="14" t="s">
        <v>23</v>
      </c>
      <c r="B8" s="15">
        <v>1</v>
      </c>
      <c r="C8" s="16">
        <f>B8/B9</f>
        <v>0.2</v>
      </c>
      <c r="D8" s="16">
        <f>SUM($B$5:B8)/B$9</f>
        <v>1</v>
      </c>
      <c r="E8" s="17" t="s">
        <v>32</v>
      </c>
    </row>
    <row r="9" spans="1:5" ht="21.75" customHeight="1" x14ac:dyDescent="0.3">
      <c r="A9" s="18" t="s">
        <v>33</v>
      </c>
      <c r="B9" s="19">
        <f>SUM(B5:B8)</f>
        <v>5</v>
      </c>
      <c r="C9" s="20"/>
      <c r="D9" s="20"/>
      <c r="E9" s="20"/>
    </row>
    <row r="12" spans="1:5" ht="27.75" customHeight="1" x14ac:dyDescent="0.3">
      <c r="A12" s="4" t="s">
        <v>34</v>
      </c>
      <c r="B12" s="4"/>
      <c r="C12" s="4"/>
      <c r="D12" s="4"/>
      <c r="E12" s="4"/>
    </row>
    <row r="13" spans="1:5" ht="24" customHeight="1" x14ac:dyDescent="0.3">
      <c r="A13" s="19" t="s">
        <v>35</v>
      </c>
      <c r="B13" s="19" t="s">
        <v>36</v>
      </c>
      <c r="C13" s="3" t="s">
        <v>37</v>
      </c>
      <c r="D13" s="3"/>
      <c r="E13" s="3"/>
    </row>
    <row r="14" spans="1:5" ht="21.75" customHeight="1" x14ac:dyDescent="0.3">
      <c r="A14" s="21" t="s">
        <v>38</v>
      </c>
      <c r="B14" s="22">
        <f>'Datos Recolectados'!D5</f>
        <v>50</v>
      </c>
      <c r="C14" s="2" t="s">
        <v>39</v>
      </c>
      <c r="D14" s="2"/>
      <c r="E14" s="2"/>
    </row>
    <row r="15" spans="1:5" ht="21.75" customHeight="1" x14ac:dyDescent="0.3">
      <c r="A15" s="24" t="s">
        <v>40</v>
      </c>
      <c r="B15" s="25">
        <f>'Datos Recolectados'!D5</f>
        <v>50</v>
      </c>
      <c r="C15" s="1" t="s">
        <v>41</v>
      </c>
      <c r="D15" s="1"/>
      <c r="E15" s="1"/>
    </row>
    <row r="16" spans="1:5" ht="21.75" customHeight="1" x14ac:dyDescent="0.3">
      <c r="A16" s="21" t="s">
        <v>42</v>
      </c>
      <c r="B16" s="22">
        <f>'Datos Recolectados'!D5</f>
        <v>50</v>
      </c>
      <c r="C16" s="2" t="s">
        <v>43</v>
      </c>
      <c r="D16" s="2"/>
      <c r="E16" s="2"/>
    </row>
    <row r="17" spans="1:5" ht="21.75" customHeight="1" x14ac:dyDescent="0.3">
      <c r="A17" s="24" t="s">
        <v>44</v>
      </c>
      <c r="B17" s="25">
        <v>100</v>
      </c>
      <c r="C17" s="1" t="s">
        <v>45</v>
      </c>
      <c r="D17" s="1"/>
      <c r="E17" s="1"/>
    </row>
  </sheetData>
  <mergeCells count="8">
    <mergeCell ref="C15:E15"/>
    <mergeCell ref="C16:E16"/>
    <mergeCell ref="C17:E17"/>
    <mergeCell ref="A1:E1"/>
    <mergeCell ref="A2:E2"/>
    <mergeCell ref="A12:E12"/>
    <mergeCell ref="C13:E13"/>
    <mergeCell ref="C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topLeftCell="A17" zoomScaleNormal="100" workbookViewId="0">
      <selection activeCell="C5" sqref="C5"/>
    </sheetView>
  </sheetViews>
  <sheetFormatPr defaultColWidth="8.6640625" defaultRowHeight="14.4" x14ac:dyDescent="0.3"/>
  <cols>
    <col min="1" max="1" width="28" customWidth="1"/>
    <col min="2" max="2" width="14" customWidth="1"/>
  </cols>
  <sheetData>
    <row r="1" spans="1:2" ht="31.5" customHeight="1" x14ac:dyDescent="0.3">
      <c r="A1" s="41" t="s">
        <v>46</v>
      </c>
      <c r="B1" s="41"/>
    </row>
    <row r="2" spans="1:2" x14ac:dyDescent="0.3">
      <c r="A2" s="43" t="s">
        <v>26</v>
      </c>
      <c r="B2" s="43" t="s">
        <v>27</v>
      </c>
    </row>
    <row r="3" spans="1:2" x14ac:dyDescent="0.3">
      <c r="A3" s="44" t="s">
        <v>13</v>
      </c>
      <c r="B3" s="45">
        <v>2</v>
      </c>
    </row>
    <row r="4" spans="1:2" x14ac:dyDescent="0.3">
      <c r="A4" s="44" t="s">
        <v>9</v>
      </c>
      <c r="B4" s="45">
        <v>1</v>
      </c>
    </row>
    <row r="5" spans="1:2" x14ac:dyDescent="0.3">
      <c r="A5" s="44" t="s">
        <v>47</v>
      </c>
      <c r="B5" s="45">
        <v>1</v>
      </c>
    </row>
    <row r="6" spans="1:2" x14ac:dyDescent="0.3">
      <c r="A6" s="44" t="s">
        <v>23</v>
      </c>
      <c r="B6" s="45">
        <v>1</v>
      </c>
    </row>
    <row r="7" spans="1:2" x14ac:dyDescent="0.3">
      <c r="A7" s="43" t="s">
        <v>48</v>
      </c>
      <c r="B7" s="43" t="s">
        <v>49</v>
      </c>
    </row>
    <row r="8" spans="1:2" x14ac:dyDescent="0.3">
      <c r="A8" s="44" t="s">
        <v>10</v>
      </c>
      <c r="B8" s="45">
        <v>3</v>
      </c>
    </row>
    <row r="9" spans="1:2" x14ac:dyDescent="0.3">
      <c r="A9" s="44" t="s">
        <v>50</v>
      </c>
      <c r="B9" s="45">
        <v>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showGridLines="0" zoomScaleNormal="100" workbookViewId="0">
      <selection activeCell="F12" sqref="F12"/>
    </sheetView>
  </sheetViews>
  <sheetFormatPr defaultColWidth="8.6640625" defaultRowHeight="14.4" x14ac:dyDescent="0.3"/>
  <cols>
    <col min="1" max="1" width="8" customWidth="1"/>
    <col min="2" max="2" width="32" customWidth="1"/>
    <col min="3" max="6" width="14" customWidth="1"/>
    <col min="7" max="7" width="16" customWidth="1"/>
  </cols>
  <sheetData>
    <row r="1" spans="1:7" ht="31.5" customHeight="1" x14ac:dyDescent="0.3">
      <c r="A1" s="7" t="s">
        <v>51</v>
      </c>
      <c r="B1" s="7"/>
      <c r="C1" s="7"/>
      <c r="D1" s="7"/>
      <c r="E1" s="7"/>
      <c r="F1" s="7"/>
      <c r="G1" s="7"/>
    </row>
    <row r="2" spans="1:7" ht="19.5" customHeight="1" x14ac:dyDescent="0.3">
      <c r="A2" s="6" t="s">
        <v>52</v>
      </c>
      <c r="B2" s="6"/>
      <c r="C2" s="6"/>
      <c r="D2" s="6"/>
      <c r="E2" s="6"/>
      <c r="F2" s="6"/>
      <c r="G2" s="6"/>
    </row>
    <row r="4" spans="1:7" ht="30" customHeight="1" x14ac:dyDescent="0.3">
      <c r="A4" s="8" t="s">
        <v>53</v>
      </c>
      <c r="B4" s="8" t="s">
        <v>54</v>
      </c>
      <c r="C4" s="8" t="s">
        <v>55</v>
      </c>
      <c r="D4" s="8" t="s">
        <v>56</v>
      </c>
      <c r="E4" s="8" t="s">
        <v>57</v>
      </c>
      <c r="F4" s="8" t="s">
        <v>30</v>
      </c>
      <c r="G4" s="8" t="s">
        <v>58</v>
      </c>
    </row>
    <row r="5" spans="1:7" ht="21.75" customHeight="1" x14ac:dyDescent="0.3">
      <c r="A5" s="26" t="s">
        <v>59</v>
      </c>
      <c r="B5" s="27" t="s">
        <v>60</v>
      </c>
      <c r="C5" s="28">
        <v>5</v>
      </c>
      <c r="D5" s="28">
        <v>5</v>
      </c>
      <c r="E5" s="28">
        <f t="shared" ref="E5:E12" si="0">C5+D5</f>
        <v>10</v>
      </c>
      <c r="F5" s="28" t="s">
        <v>115</v>
      </c>
      <c r="G5" s="28" t="s">
        <v>61</v>
      </c>
    </row>
    <row r="6" spans="1:7" ht="21.75" customHeight="1" x14ac:dyDescent="0.3">
      <c r="A6" s="26" t="s">
        <v>62</v>
      </c>
      <c r="B6" s="27" t="s">
        <v>63</v>
      </c>
      <c r="C6" s="28">
        <v>5</v>
      </c>
      <c r="D6" s="28">
        <v>5</v>
      </c>
      <c r="E6" s="28">
        <f t="shared" si="0"/>
        <v>10</v>
      </c>
      <c r="F6" s="28" t="s">
        <v>115</v>
      </c>
      <c r="G6" s="28" t="s">
        <v>64</v>
      </c>
    </row>
    <row r="7" spans="1:7" ht="21.75" customHeight="1" x14ac:dyDescent="0.3">
      <c r="A7" s="26" t="s">
        <v>65</v>
      </c>
      <c r="B7" s="27" t="s">
        <v>66</v>
      </c>
      <c r="C7" s="28">
        <v>5</v>
      </c>
      <c r="D7" s="28">
        <v>4</v>
      </c>
      <c r="E7" s="28">
        <f t="shared" si="0"/>
        <v>9</v>
      </c>
      <c r="F7" s="28" t="s">
        <v>88</v>
      </c>
      <c r="G7" s="28" t="s">
        <v>64</v>
      </c>
    </row>
    <row r="8" spans="1:7" ht="21.75" customHeight="1" x14ac:dyDescent="0.3">
      <c r="A8" s="29" t="s">
        <v>67</v>
      </c>
      <c r="B8" s="30" t="s">
        <v>68</v>
      </c>
      <c r="C8" s="31">
        <v>4</v>
      </c>
      <c r="D8" s="31">
        <v>4</v>
      </c>
      <c r="E8" s="31">
        <f t="shared" si="0"/>
        <v>8</v>
      </c>
      <c r="F8" s="31" t="s">
        <v>116</v>
      </c>
      <c r="G8" s="31" t="s">
        <v>69</v>
      </c>
    </row>
    <row r="9" spans="1:7" ht="21.75" customHeight="1" x14ac:dyDescent="0.3">
      <c r="A9" s="32" t="s">
        <v>70</v>
      </c>
      <c r="B9" s="33" t="s">
        <v>71</v>
      </c>
      <c r="C9" s="34">
        <v>3</v>
      </c>
      <c r="D9" s="34">
        <v>3</v>
      </c>
      <c r="E9" s="34">
        <f t="shared" si="0"/>
        <v>6</v>
      </c>
      <c r="F9" s="34" t="s">
        <v>117</v>
      </c>
      <c r="G9" s="34" t="s">
        <v>61</v>
      </c>
    </row>
    <row r="10" spans="1:7" ht="21.75" customHeight="1" x14ac:dyDescent="0.3">
      <c r="A10" s="32" t="s">
        <v>72</v>
      </c>
      <c r="B10" s="33" t="s">
        <v>73</v>
      </c>
      <c r="C10" s="34">
        <v>3</v>
      </c>
      <c r="D10" s="34">
        <v>3</v>
      </c>
      <c r="E10" s="34">
        <f t="shared" si="0"/>
        <v>6</v>
      </c>
      <c r="F10" s="34" t="s">
        <v>97</v>
      </c>
      <c r="G10" s="34" t="s">
        <v>74</v>
      </c>
    </row>
    <row r="11" spans="1:7" ht="21.75" customHeight="1" x14ac:dyDescent="0.3">
      <c r="A11" s="32" t="s">
        <v>75</v>
      </c>
      <c r="B11" s="33" t="s">
        <v>76</v>
      </c>
      <c r="C11" s="34">
        <v>4</v>
      </c>
      <c r="D11" s="34">
        <v>2</v>
      </c>
      <c r="E11" s="34">
        <f t="shared" si="0"/>
        <v>6</v>
      </c>
      <c r="F11" s="34" t="s">
        <v>97</v>
      </c>
      <c r="G11" s="34" t="s">
        <v>77</v>
      </c>
    </row>
    <row r="12" spans="1:7" ht="21.75" customHeight="1" x14ac:dyDescent="0.3">
      <c r="A12" s="35" t="s">
        <v>78</v>
      </c>
      <c r="B12" s="36" t="s">
        <v>79</v>
      </c>
      <c r="C12" s="17">
        <v>3</v>
      </c>
      <c r="D12" s="17">
        <v>2</v>
      </c>
      <c r="E12" s="17">
        <f t="shared" si="0"/>
        <v>5</v>
      </c>
      <c r="F12" s="17" t="s">
        <v>118</v>
      </c>
      <c r="G12" s="17" t="s">
        <v>80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showGridLines="0" zoomScaleNormal="100" workbookViewId="0">
      <selection activeCell="E9" sqref="E9"/>
    </sheetView>
  </sheetViews>
  <sheetFormatPr defaultColWidth="8.6640625" defaultRowHeight="14.4" x14ac:dyDescent="0.3"/>
  <cols>
    <col min="1" max="1" width="10.77734375" customWidth="1"/>
    <col min="2" max="2" width="47.109375" customWidth="1"/>
    <col min="3" max="3" width="18" customWidth="1"/>
    <col min="4" max="4" width="12" customWidth="1"/>
    <col min="5" max="5" width="30" customWidth="1"/>
  </cols>
  <sheetData>
    <row r="1" spans="1:5" ht="31.5" customHeight="1" x14ac:dyDescent="0.3">
      <c r="A1" s="5" t="s">
        <v>81</v>
      </c>
      <c r="B1" s="5"/>
      <c r="C1" s="5"/>
      <c r="D1" s="5"/>
      <c r="E1" s="5"/>
    </row>
    <row r="2" spans="1:5" ht="19.5" customHeight="1" x14ac:dyDescent="0.3">
      <c r="A2" s="6" t="s">
        <v>82</v>
      </c>
      <c r="B2" s="6"/>
      <c r="C2" s="6"/>
      <c r="D2" s="6"/>
      <c r="E2" s="6"/>
    </row>
    <row r="4" spans="1:5" ht="27.75" customHeight="1" x14ac:dyDescent="0.3">
      <c r="A4" s="13" t="s">
        <v>53</v>
      </c>
      <c r="B4" s="13" t="s">
        <v>83</v>
      </c>
      <c r="C4" s="13" t="s">
        <v>84</v>
      </c>
      <c r="D4" s="13" t="s">
        <v>30</v>
      </c>
      <c r="E4" s="13" t="s">
        <v>85</v>
      </c>
    </row>
    <row r="5" spans="1:5" ht="27.75" customHeight="1" x14ac:dyDescent="0.3">
      <c r="A5" s="37" t="s">
        <v>59</v>
      </c>
      <c r="B5" s="36" t="s">
        <v>86</v>
      </c>
      <c r="C5" s="38" t="s">
        <v>87</v>
      </c>
      <c r="D5" s="38" t="s">
        <v>88</v>
      </c>
      <c r="E5" s="36" t="s">
        <v>89</v>
      </c>
    </row>
    <row r="6" spans="1:5" ht="27.75" customHeight="1" x14ac:dyDescent="0.3">
      <c r="A6" s="37" t="s">
        <v>62</v>
      </c>
      <c r="B6" s="36" t="s">
        <v>90</v>
      </c>
      <c r="C6" s="38" t="s">
        <v>87</v>
      </c>
      <c r="D6" s="38" t="s">
        <v>88</v>
      </c>
      <c r="E6" s="36" t="s">
        <v>91</v>
      </c>
    </row>
    <row r="7" spans="1:5" ht="27.75" customHeight="1" x14ac:dyDescent="0.3">
      <c r="A7" s="37" t="s">
        <v>65</v>
      </c>
      <c r="B7" s="36" t="s">
        <v>92</v>
      </c>
      <c r="C7" s="38" t="s">
        <v>87</v>
      </c>
      <c r="D7" s="38" t="s">
        <v>88</v>
      </c>
      <c r="E7" s="36" t="s">
        <v>91</v>
      </c>
    </row>
    <row r="8" spans="1:5" ht="27.75" customHeight="1" x14ac:dyDescent="0.3">
      <c r="A8" s="37" t="s">
        <v>67</v>
      </c>
      <c r="B8" s="36" t="s">
        <v>93</v>
      </c>
      <c r="C8" s="38" t="s">
        <v>87</v>
      </c>
      <c r="D8" s="38" t="s">
        <v>94</v>
      </c>
      <c r="E8" s="36" t="s">
        <v>95</v>
      </c>
    </row>
    <row r="9" spans="1:5" ht="27.75" customHeight="1" x14ac:dyDescent="0.3">
      <c r="A9" s="37" t="s">
        <v>70</v>
      </c>
      <c r="B9" s="36" t="s">
        <v>96</v>
      </c>
      <c r="C9" s="38" t="s">
        <v>87</v>
      </c>
      <c r="D9" s="38" t="s">
        <v>97</v>
      </c>
      <c r="E9" s="36" t="s">
        <v>98</v>
      </c>
    </row>
    <row r="10" spans="1:5" ht="27.75" customHeight="1" x14ac:dyDescent="0.3">
      <c r="A10" s="37" t="s">
        <v>72</v>
      </c>
      <c r="B10" s="36" t="s">
        <v>99</v>
      </c>
      <c r="C10" s="38" t="s">
        <v>87</v>
      </c>
      <c r="D10" s="38" t="s">
        <v>97</v>
      </c>
      <c r="E10" s="36" t="s">
        <v>100</v>
      </c>
    </row>
    <row r="11" spans="1:5" ht="27.75" customHeight="1" x14ac:dyDescent="0.3">
      <c r="A11" s="37" t="s">
        <v>75</v>
      </c>
      <c r="B11" s="36" t="s">
        <v>101</v>
      </c>
      <c r="C11" s="38" t="s">
        <v>87</v>
      </c>
      <c r="D11" s="38" t="s">
        <v>97</v>
      </c>
      <c r="E11" s="36" t="s">
        <v>102</v>
      </c>
    </row>
    <row r="12" spans="1:5" ht="27.75" customHeight="1" x14ac:dyDescent="0.3">
      <c r="A12" s="37" t="s">
        <v>78</v>
      </c>
      <c r="B12" s="36" t="s">
        <v>103</v>
      </c>
      <c r="C12" s="38" t="s">
        <v>87</v>
      </c>
      <c r="D12" s="38" t="s">
        <v>104</v>
      </c>
      <c r="E12" s="36" t="s">
        <v>91</v>
      </c>
    </row>
    <row r="13" spans="1:5" ht="27.75" customHeight="1" x14ac:dyDescent="0.3">
      <c r="A13" s="39" t="s">
        <v>105</v>
      </c>
      <c r="B13" s="23" t="s">
        <v>106</v>
      </c>
      <c r="C13" s="40" t="s">
        <v>107</v>
      </c>
      <c r="D13" s="40" t="s">
        <v>88</v>
      </c>
      <c r="E13" s="23" t="s">
        <v>108</v>
      </c>
    </row>
    <row r="14" spans="1:5" ht="27.75" customHeight="1" x14ac:dyDescent="0.3">
      <c r="A14" s="39" t="s">
        <v>109</v>
      </c>
      <c r="B14" s="23" t="s">
        <v>110</v>
      </c>
      <c r="C14" s="40" t="s">
        <v>107</v>
      </c>
      <c r="D14" s="40" t="s">
        <v>88</v>
      </c>
      <c r="E14" s="23" t="s">
        <v>111</v>
      </c>
    </row>
    <row r="16" spans="1:5" x14ac:dyDescent="0.3">
      <c r="A16" s="43" t="s">
        <v>112</v>
      </c>
      <c r="B16" s="42"/>
    </row>
    <row r="17" spans="1:2" x14ac:dyDescent="0.3">
      <c r="A17" s="46" t="s">
        <v>87</v>
      </c>
      <c r="B17" s="44" t="s">
        <v>113</v>
      </c>
    </row>
    <row r="18" spans="1:2" x14ac:dyDescent="0.3">
      <c r="A18" s="47" t="s">
        <v>107</v>
      </c>
      <c r="B18" s="44" t="s">
        <v>114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Datos Recolectados</vt:lpstr>
      <vt:lpstr>Frecuencias y Estadísticas</vt:lpstr>
      <vt:lpstr>Gráficas</vt:lpstr>
      <vt:lpstr>Matriz de Priorización</vt:lpstr>
      <vt:lpstr>Lista de Requisitos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rony Рони</cp:lastModifiedBy>
  <cp:revision>1</cp:revision>
  <dcterms:created xsi:type="dcterms:W3CDTF">2026-04-11T15:15:21Z</dcterms:created>
  <dcterms:modified xsi:type="dcterms:W3CDTF">2026-04-11T15:23:36Z</dcterms:modified>
  <dc:language>en-US</dc:language>
</cp:coreProperties>
</file>